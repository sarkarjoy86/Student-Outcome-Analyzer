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FAF2780-6FB8-4082-9544-899644AD3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N+BywQyWPoN8EUz06g86wSDos/otoyttYLK0eJt4q2c="/>
    </ext>
  </extLst>
</workbook>
</file>

<file path=xl/calcChain.xml><?xml version="1.0" encoding="utf-8"?>
<calcChain xmlns="http://schemas.openxmlformats.org/spreadsheetml/2006/main">
  <c r="BC23" i="3" l="1"/>
  <c r="BC327" i="3" l="1"/>
  <c r="BC326" i="3"/>
  <c r="BC325" i="3"/>
  <c r="BC324" i="3"/>
  <c r="BC323" i="3"/>
  <c r="BC322" i="3"/>
  <c r="BC321" i="3"/>
  <c r="BC320" i="3"/>
  <c r="BC319" i="3"/>
  <c r="BC318" i="3"/>
  <c r="BC317" i="3"/>
  <c r="BC316" i="3"/>
  <c r="BC315" i="3"/>
  <c r="BC314" i="3"/>
  <c r="BC313" i="3"/>
  <c r="BC312" i="3"/>
  <c r="BC311" i="3"/>
  <c r="BC310" i="3"/>
  <c r="BC309" i="3"/>
  <c r="BC308" i="3"/>
  <c r="BC307" i="3"/>
  <c r="BC306" i="3"/>
  <c r="BC305" i="3"/>
  <c r="BC304" i="3"/>
  <c r="BC303" i="3"/>
  <c r="BC302" i="3"/>
  <c r="BC301" i="3"/>
  <c r="BC300" i="3"/>
  <c r="BC299" i="3"/>
  <c r="BC298" i="3"/>
  <c r="BC297" i="3"/>
  <c r="BC296" i="3"/>
  <c r="BC295" i="3"/>
  <c r="BC294" i="3"/>
  <c r="BC293" i="3"/>
  <c r="BC292" i="3"/>
  <c r="BC291" i="3"/>
  <c r="BC290" i="3"/>
  <c r="BC289" i="3"/>
  <c r="BC288" i="3"/>
  <c r="BC287" i="3"/>
  <c r="BC286" i="3"/>
  <c r="BC285" i="3"/>
  <c r="BC284" i="3"/>
  <c r="BC283" i="3"/>
  <c r="BC282" i="3"/>
  <c r="BC281" i="3"/>
  <c r="BC280" i="3"/>
  <c r="BC279" i="3"/>
  <c r="BC278" i="3"/>
  <c r="BC277" i="3"/>
  <c r="BC276" i="3"/>
  <c r="BC275" i="3"/>
  <c r="BC274" i="3"/>
  <c r="BC273" i="3"/>
  <c r="BC272" i="3"/>
  <c r="BC271" i="3"/>
  <c r="BC270" i="3"/>
  <c r="BC269" i="3"/>
  <c r="BC268" i="3"/>
  <c r="BC267" i="3"/>
  <c r="BC266" i="3"/>
  <c r="BC265" i="3"/>
  <c r="BC264" i="3"/>
  <c r="BC263" i="3"/>
  <c r="BC262" i="3"/>
  <c r="BC261" i="3"/>
  <c r="BC260" i="3"/>
  <c r="BC259" i="3"/>
  <c r="BC258" i="3"/>
  <c r="BC257" i="3"/>
  <c r="BC256" i="3"/>
  <c r="BC255" i="3"/>
  <c r="BC254" i="3"/>
  <c r="BC253" i="3"/>
  <c r="BC252" i="3"/>
  <c r="BC251" i="3"/>
  <c r="BC250" i="3"/>
  <c r="BC249" i="3"/>
  <c r="BC248" i="3"/>
  <c r="BC247" i="3"/>
  <c r="BC246" i="3"/>
  <c r="BC245" i="3"/>
  <c r="BC244" i="3"/>
  <c r="BC243" i="3"/>
  <c r="BC242" i="3"/>
  <c r="BC241" i="3"/>
  <c r="BC240" i="3"/>
  <c r="BC239" i="3"/>
  <c r="BC238" i="3"/>
  <c r="BC237" i="3"/>
  <c r="BC236" i="3"/>
  <c r="BC235" i="3"/>
  <c r="BC234" i="3"/>
  <c r="BC233" i="3"/>
  <c r="BC232" i="3"/>
  <c r="BC231" i="3"/>
  <c r="BC230" i="3"/>
  <c r="BC229" i="3"/>
  <c r="BC228" i="3"/>
  <c r="BC227" i="3"/>
  <c r="BC226" i="3"/>
  <c r="BC225" i="3"/>
  <c r="BC224" i="3"/>
  <c r="BC223" i="3"/>
  <c r="BC222" i="3"/>
  <c r="BC221" i="3"/>
  <c r="BC220" i="3"/>
  <c r="BC219" i="3"/>
  <c r="BC218" i="3"/>
  <c r="BC217" i="3"/>
  <c r="BC216" i="3"/>
  <c r="BC215" i="3"/>
  <c r="BC214" i="3"/>
  <c r="BC213" i="3"/>
  <c r="BC212" i="3"/>
  <c r="BC211" i="3"/>
  <c r="BC210" i="3"/>
  <c r="BC209" i="3"/>
  <c r="BC208" i="3"/>
  <c r="BC207" i="3"/>
  <c r="BC206" i="3"/>
  <c r="BC205" i="3"/>
  <c r="BC204" i="3"/>
  <c r="BC203" i="3"/>
  <c r="BC202" i="3"/>
  <c r="BC201" i="3"/>
  <c r="BC200" i="3"/>
  <c r="BC199" i="3"/>
  <c r="BC198" i="3"/>
  <c r="BC197" i="3"/>
  <c r="BC196" i="3"/>
  <c r="BC195" i="3"/>
  <c r="BC194" i="3"/>
  <c r="BC193" i="3"/>
  <c r="BC192" i="3"/>
  <c r="BC191" i="3"/>
  <c r="BC190" i="3"/>
  <c r="BC189" i="3"/>
  <c r="BC188" i="3"/>
  <c r="BC187" i="3"/>
  <c r="BC186" i="3"/>
  <c r="BC185" i="3"/>
  <c r="BC184" i="3"/>
  <c r="BC183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C168" i="3"/>
  <c r="BC167" i="3"/>
  <c r="BC166" i="3"/>
  <c r="BC165" i="3"/>
  <c r="BC164" i="3"/>
  <c r="BC163" i="3"/>
  <c r="BC162" i="3"/>
  <c r="BC161" i="3"/>
  <c r="BC160" i="3"/>
  <c r="BC159" i="3"/>
  <c r="BC158" i="3"/>
  <c r="BC157" i="3"/>
  <c r="BC156" i="3"/>
  <c r="BC155" i="3"/>
  <c r="BC154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C136" i="3"/>
  <c r="BC135" i="3"/>
  <c r="BC134" i="3"/>
  <c r="BC133" i="3"/>
  <c r="BC132" i="3"/>
  <c r="BC131" i="3"/>
  <c r="BC130" i="3"/>
  <c r="BC129" i="3"/>
  <c r="BC128" i="3"/>
  <c r="BC127" i="3"/>
  <c r="BC126" i="3"/>
  <c r="BC125" i="3"/>
  <c r="BC124" i="3"/>
  <c r="BC123" i="3"/>
  <c r="BC122" i="3"/>
  <c r="BC121" i="3"/>
  <c r="BC120" i="3"/>
  <c r="BC119" i="3"/>
  <c r="BC118" i="3"/>
  <c r="BC117" i="3"/>
  <c r="BC116" i="3"/>
  <c r="BC115" i="3"/>
  <c r="BC114" i="3"/>
  <c r="BC113" i="3"/>
  <c r="BC112" i="3"/>
  <c r="BC111" i="3"/>
  <c r="BC110" i="3"/>
  <c r="BC109" i="3"/>
  <c r="BC108" i="3"/>
  <c r="BC107" i="3"/>
  <c r="BC106" i="3"/>
  <c r="BC105" i="3"/>
  <c r="BC104" i="3"/>
  <c r="BC103" i="3"/>
  <c r="BC102" i="3"/>
  <c r="BC101" i="3"/>
  <c r="BC100" i="3"/>
  <c r="BC99" i="3"/>
  <c r="BC98" i="3"/>
  <c r="BC97" i="3"/>
  <c r="BC96" i="3"/>
  <c r="BC95" i="3"/>
  <c r="BC94" i="3"/>
  <c r="BC93" i="3"/>
  <c r="BC92" i="3"/>
  <c r="BC91" i="3"/>
  <c r="BC90" i="3"/>
  <c r="BC89" i="3"/>
  <c r="BD89" i="3" s="1"/>
  <c r="BC88" i="3"/>
  <c r="BD88" i="3" s="1"/>
  <c r="BC87" i="3"/>
  <c r="BD87" i="3" s="1"/>
  <c r="BC86" i="3"/>
  <c r="BD86" i="3" s="1"/>
  <c r="BC85" i="3"/>
  <c r="BD85" i="3" s="1"/>
  <c r="BD84" i="3"/>
  <c r="BC84" i="3"/>
  <c r="BC83" i="3"/>
  <c r="BD83" i="3" s="1"/>
  <c r="BC82" i="3"/>
  <c r="BD82" i="3" s="1"/>
  <c r="BC81" i="3"/>
  <c r="BD81" i="3" s="1"/>
  <c r="BD80" i="3"/>
  <c r="BC80" i="3"/>
  <c r="BC79" i="3"/>
  <c r="BD79" i="3" s="1"/>
  <c r="BC78" i="3"/>
  <c r="BD78" i="3" s="1"/>
  <c r="BD77" i="3"/>
  <c r="BC77" i="3"/>
  <c r="BC76" i="3"/>
  <c r="BD76" i="3" s="1"/>
  <c r="BC75" i="3"/>
  <c r="BD75" i="3" s="1"/>
  <c r="BC74" i="3"/>
  <c r="BD74" i="3" s="1"/>
  <c r="BD73" i="3"/>
  <c r="BC73" i="3"/>
  <c r="BC72" i="3"/>
  <c r="BD72" i="3" s="1"/>
  <c r="BC71" i="3"/>
  <c r="BD71" i="3" s="1"/>
  <c r="BC70" i="3"/>
  <c r="BD70" i="3" s="1"/>
  <c r="BC69" i="3"/>
  <c r="BD69" i="3" s="1"/>
  <c r="BC68" i="3"/>
  <c r="BD68" i="3" s="1"/>
  <c r="BC67" i="3"/>
  <c r="BD67" i="3" s="1"/>
  <c r="BC66" i="3"/>
  <c r="BD66" i="3" s="1"/>
  <c r="BC65" i="3"/>
  <c r="BD65" i="3" s="1"/>
  <c r="BC64" i="3"/>
  <c r="BD64" i="3" s="1"/>
  <c r="BC63" i="3"/>
  <c r="BD63" i="3" s="1"/>
  <c r="BC62" i="3"/>
  <c r="BD62" i="3" s="1"/>
  <c r="BC61" i="3"/>
  <c r="BD61" i="3" s="1"/>
  <c r="BC60" i="3"/>
  <c r="BD60" i="3" s="1"/>
  <c r="BC59" i="3"/>
  <c r="BD59" i="3" s="1"/>
  <c r="BC58" i="3"/>
  <c r="BD58" i="3" s="1"/>
  <c r="BC57" i="3"/>
  <c r="BD57" i="3" s="1"/>
  <c r="BC56" i="3"/>
  <c r="BD56" i="3" s="1"/>
  <c r="BC55" i="3"/>
  <c r="BD55" i="3" s="1"/>
  <c r="BC54" i="3"/>
  <c r="BD54" i="3" s="1"/>
  <c r="BC53" i="3"/>
  <c r="BD53" i="3" s="1"/>
  <c r="BC52" i="3"/>
  <c r="BD52" i="3" s="1"/>
  <c r="BC51" i="3"/>
  <c r="BD51" i="3" s="1"/>
  <c r="BC50" i="3"/>
  <c r="BD50" i="3" s="1"/>
  <c r="BC49" i="3"/>
  <c r="BD49" i="3" s="1"/>
  <c r="BC48" i="3"/>
  <c r="BD48" i="3" s="1"/>
  <c r="BC47" i="3"/>
  <c r="BD47" i="3" s="1"/>
  <c r="BC46" i="3"/>
  <c r="BD46" i="3" s="1"/>
  <c r="BC45" i="3"/>
  <c r="BD45" i="3" s="1"/>
  <c r="BC44" i="3"/>
  <c r="BD44" i="3" s="1"/>
  <c r="BC43" i="3"/>
  <c r="BD43" i="3" s="1"/>
  <c r="BC42" i="3"/>
  <c r="BD42" i="3" s="1"/>
  <c r="BC41" i="3"/>
  <c r="BD41" i="3" s="1"/>
  <c r="BC40" i="3"/>
  <c r="BD40" i="3" s="1"/>
  <c r="BC39" i="3"/>
  <c r="BD39" i="3" s="1"/>
  <c r="BC38" i="3"/>
  <c r="BD38" i="3" s="1"/>
  <c r="BC37" i="3"/>
  <c r="BD37" i="3" s="1"/>
  <c r="BC36" i="3"/>
  <c r="BD36" i="3" s="1"/>
  <c r="BC35" i="3"/>
  <c r="BD35" i="3" s="1"/>
  <c r="BC34" i="3"/>
  <c r="BD34" i="3" s="1"/>
  <c r="BC33" i="3"/>
  <c r="BD33" i="3" s="1"/>
  <c r="BC32" i="3"/>
  <c r="BD32" i="3" s="1"/>
  <c r="BC31" i="3"/>
  <c r="BD31" i="3" s="1"/>
  <c r="BC30" i="3"/>
  <c r="BD30" i="3" s="1"/>
  <c r="BC29" i="3"/>
  <c r="BD29" i="3" s="1"/>
  <c r="BC28" i="3"/>
  <c r="BD28" i="3" s="1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P17" i="3"/>
  <c r="O17" i="3"/>
  <c r="N17" i="3"/>
  <c r="M17" i="3"/>
  <c r="L17" i="3"/>
  <c r="K17" i="3"/>
  <c r="J17" i="3"/>
  <c r="I17" i="3"/>
  <c r="H17" i="3"/>
  <c r="G17" i="3"/>
  <c r="F17" i="3"/>
  <c r="E17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I16" i="3"/>
  <c r="H16" i="3"/>
  <c r="G16" i="3"/>
  <c r="F16" i="3"/>
  <c r="E16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I15" i="3"/>
  <c r="H15" i="3"/>
  <c r="G15" i="3"/>
  <c r="F15" i="3"/>
  <c r="E15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P14" i="3"/>
  <c r="O14" i="3"/>
  <c r="N14" i="3"/>
  <c r="M14" i="3"/>
  <c r="L14" i="3"/>
  <c r="K14" i="3"/>
  <c r="J14" i="3"/>
  <c r="I14" i="3"/>
  <c r="H14" i="3"/>
  <c r="G14" i="3"/>
  <c r="F14" i="3"/>
  <c r="E14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P13" i="3"/>
  <c r="O13" i="3"/>
  <c r="N13" i="3"/>
  <c r="M13" i="3"/>
  <c r="L13" i="3"/>
  <c r="K13" i="3"/>
  <c r="J13" i="3"/>
  <c r="I13" i="3"/>
  <c r="H13" i="3"/>
  <c r="G13" i="3"/>
  <c r="F13" i="3"/>
  <c r="E13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P12" i="3"/>
  <c r="O12" i="3"/>
  <c r="N12" i="3"/>
  <c r="M12" i="3"/>
  <c r="L12" i="3"/>
  <c r="K12" i="3"/>
  <c r="J12" i="3"/>
  <c r="I12" i="3"/>
  <c r="H12" i="3"/>
  <c r="G12" i="3"/>
  <c r="F12" i="3"/>
  <c r="E12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P11" i="3"/>
  <c r="O11" i="3"/>
  <c r="N11" i="3"/>
  <c r="M11" i="3"/>
  <c r="L11" i="3"/>
  <c r="K11" i="3"/>
  <c r="J11" i="3"/>
  <c r="I11" i="3"/>
  <c r="H11" i="3"/>
  <c r="G11" i="3"/>
  <c r="F11" i="3"/>
  <c r="E11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P10" i="3"/>
  <c r="O10" i="3"/>
  <c r="N10" i="3"/>
  <c r="M10" i="3"/>
  <c r="L10" i="3"/>
  <c r="K10" i="3"/>
  <c r="J10" i="3"/>
  <c r="I10" i="3"/>
  <c r="H10" i="3"/>
  <c r="G10" i="3"/>
  <c r="F10" i="3"/>
  <c r="E10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P9" i="3"/>
  <c r="O9" i="3"/>
  <c r="N9" i="3"/>
  <c r="M9" i="3"/>
  <c r="L9" i="3"/>
  <c r="K9" i="3"/>
  <c r="J9" i="3"/>
  <c r="I9" i="3"/>
  <c r="H9" i="3"/>
  <c r="G9" i="3"/>
  <c r="F9" i="3"/>
  <c r="E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P8" i="3"/>
  <c r="O8" i="3"/>
  <c r="N8" i="3"/>
  <c r="M8" i="3"/>
  <c r="L8" i="3"/>
  <c r="K8" i="3"/>
  <c r="J8" i="3"/>
  <c r="I8" i="3"/>
  <c r="H8" i="3"/>
  <c r="G8" i="3"/>
  <c r="F8" i="3"/>
  <c r="E8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P7" i="3"/>
  <c r="O7" i="3"/>
  <c r="N7" i="3"/>
  <c r="M7" i="3"/>
  <c r="L7" i="3"/>
  <c r="K7" i="3"/>
  <c r="J7" i="3"/>
  <c r="I7" i="3"/>
  <c r="H7" i="3"/>
  <c r="G7" i="3"/>
  <c r="F7" i="3"/>
  <c r="E7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P6" i="3"/>
  <c r="O6" i="3"/>
  <c r="N6" i="3"/>
  <c r="M6" i="3"/>
  <c r="L6" i="3"/>
  <c r="K6" i="3"/>
  <c r="J6" i="3"/>
  <c r="I6" i="3"/>
  <c r="H6" i="3"/>
  <c r="G6" i="3"/>
  <c r="F6" i="3"/>
  <c r="E6" i="3"/>
  <c r="BC13" i="3" l="1"/>
  <c r="BC9" i="3"/>
  <c r="BC10" i="3"/>
  <c r="BC17" i="3"/>
  <c r="BC7" i="3"/>
  <c r="BC11" i="3"/>
  <c r="BC12" i="3"/>
  <c r="BC15" i="3"/>
  <c r="BC8" i="3"/>
  <c r="BC16" i="3"/>
  <c r="BC6" i="3"/>
  <c r="BC14" i="3"/>
</calcChain>
</file>

<file path=xl/sharedStrings.xml><?xml version="1.0" encoding="utf-8"?>
<sst xmlns="http://schemas.openxmlformats.org/spreadsheetml/2006/main" count="87" uniqueCount="84">
  <si>
    <t>(Please only enter information in the yellow cells)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</si>
  <si>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</si>
  <si>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</si>
  <si>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</si>
  <si>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</si>
  <si>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</si>
  <si>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</si>
  <si>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</si>
  <si>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</si>
  <si>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</si>
  <si>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</si>
  <si>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</si>
  <si>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</si>
  <si>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Assessment Marks Obtained by the Students</t>
  </si>
  <si>
    <t>Assessment Type</t>
  </si>
  <si>
    <t>CP</t>
  </si>
  <si>
    <t>Description</t>
  </si>
  <si>
    <t>Attendance</t>
  </si>
  <si>
    <t>Q1</t>
  </si>
  <si>
    <t>Q2</t>
  </si>
  <si>
    <t>Q3</t>
  </si>
  <si>
    <t>Maximum Marks</t>
  </si>
  <si>
    <t>Grade</t>
  </si>
  <si>
    <t>CO</t>
  </si>
  <si>
    <t>Student Information</t>
  </si>
  <si>
    <t>* ID</t>
  </si>
  <si>
    <t>Name</t>
  </si>
  <si>
    <t>No.</t>
  </si>
  <si>
    <t>A-</t>
  </si>
  <si>
    <t>Assessment (60)</t>
  </si>
  <si>
    <t>CT-1</t>
  </si>
  <si>
    <t>CT-2</t>
  </si>
  <si>
    <t>CT-3</t>
  </si>
  <si>
    <t>Assignment</t>
  </si>
  <si>
    <t>Q4</t>
  </si>
  <si>
    <t>Q5</t>
  </si>
  <si>
    <t>Mid Term (90)</t>
  </si>
  <si>
    <t>Term Final (150)</t>
  </si>
  <si>
    <t>Nikita Sen Singha</t>
  </si>
  <si>
    <t>Md. Saiful Islam</t>
  </si>
  <si>
    <t>Faysal Bin Ashraf</t>
  </si>
  <si>
    <t>Shubhashish Bhadra Arghya</t>
  </si>
  <si>
    <t>Mosammad Mymona Hoque</t>
  </si>
  <si>
    <t>Shatabdi Debnath</t>
  </si>
  <si>
    <t>Umma Abiha Faiza</t>
  </si>
  <si>
    <t>Md. Ismail Hossain</t>
  </si>
  <si>
    <t>Srabonty Karmokar</t>
  </si>
  <si>
    <t>K. M. Tafsin</t>
  </si>
  <si>
    <t>Taslime Jannat Nabila</t>
  </si>
  <si>
    <t>Somia Akther Shima</t>
  </si>
  <si>
    <t>Mahbuba Rahman</t>
  </si>
  <si>
    <t>Md. Nazmul Hasan</t>
  </si>
  <si>
    <t>Mohammad Abdul Wahed</t>
  </si>
  <si>
    <t>Asfia Hoque Tasin</t>
  </si>
  <si>
    <t>Nafisa Alam Bhuiyan Turna</t>
  </si>
  <si>
    <t>Sharif Uddin Bin Siddique</t>
  </si>
  <si>
    <t>Umme Mahia</t>
  </si>
  <si>
    <t>Najifa Anjum Prova</t>
  </si>
  <si>
    <t>Md.Nasir Uddin</t>
  </si>
  <si>
    <t>Samiul Hasan Sami</t>
  </si>
  <si>
    <t>Jannatul Ferdaus Anne</t>
  </si>
  <si>
    <t>Nashita Tarannum Tisha</t>
  </si>
  <si>
    <t>Shanjida Akter</t>
  </si>
  <si>
    <t>Suborna Rani Paul</t>
  </si>
  <si>
    <t>Sadia Jahan Momo</t>
  </si>
  <si>
    <t>Sadia Afren Suruve</t>
  </si>
  <si>
    <t>Shrabonti Dewan</t>
  </si>
  <si>
    <t>Sifat Jahan Toma</t>
  </si>
  <si>
    <t>Rakibul Hasan Rafi</t>
  </si>
  <si>
    <t>Nigar Sultana</t>
  </si>
  <si>
    <t>Showrov Chakraborty</t>
  </si>
  <si>
    <t>Jarin Tasnim Oishy</t>
  </si>
  <si>
    <t>Bristy Chowdhury</t>
  </si>
  <si>
    <t>Boishakhi Sinha</t>
  </si>
  <si>
    <t>Pritom Mazumder</t>
  </si>
  <si>
    <t>Arpa Ghosh</t>
  </si>
  <si>
    <t>Sidratul Muntaha</t>
  </si>
  <si>
    <t>Md Eamin</t>
  </si>
  <si>
    <t>Israt Binta Kabir</t>
  </si>
  <si>
    <t>Istiak Mahmud Tasin</t>
  </si>
  <si>
    <t>Md. Mahmudul Hasan</t>
  </si>
  <si>
    <t>Performace</t>
  </si>
  <si>
    <t>Ab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</si>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</sst>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6" x14ac:knownFonts="1">
    <font>
      <sz val="10"/>
      <color rgb="FF000000"/>
      <name val="Calibri"/>
      <scheme val="minor"/>
    </font>
    <font>
      <b/>
      <sz val="13"/>
      <color rgb="FFCE181E"/>
      <name val="Arial"/>
    </font>
    <font>
      <sz val="10"/>
      <color theme="1"/>
      <name val="Arial"/>
    </font>
    <font>
      <b/>
      <sz val="20"/>
      <color rgb="FF00A65D"/>
      <name val="Arial"/>
    </font>
    <font>
      <sz val="10"/>
      <name val="Calibri"/>
    </font>
    <font>
      <b/>
      <sz val="8"/>
      <color theme="1"/>
      <name val="Arial"/>
    </font>
    <font>
      <sz val="10"/>
      <color theme="1"/>
      <name val="Calibri"/>
    </font>
    <font>
      <sz val="8"/>
      <color theme="1"/>
      <name val="Arial"/>
    </font>
    <font>
      <sz val="10"/>
      <color theme="1"/>
      <name val="Calibri"/>
    </font>
    <font>
      <sz val="10"/>
      <color rgb="FF000000"/>
      <name val="Calibri"/>
    </font>
    <font>
      <b/>
      <sz val="8"/>
      <color theme="1"/>
      <name val="Arial"/>
      <family val="2"/>
    </font>
    <font>
      <sz val="10"/>
      <color theme="1"/>
      <name val="Calibri"/>
      <scheme val="minor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FFF200"/>
        <bgColor rgb="FFFFF200"/>
      </patternFill>
    </fill>
    <fill>
      <patternFill patternType="solid">
        <fgColor rgb="FF72BF44"/>
        <bgColor rgb="FF72BF4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5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4" xfId="0" applyFont="1" applyFill="1" applyBorder="1"/>
    <xf numFmtId="0" fontId="5" fillId="4" borderId="8" xfId="0" applyFont="1" applyFill="1" applyBorder="1"/>
    <xf numFmtId="0" fontId="5" fillId="4" borderId="9" xfId="0" applyFont="1" applyFill="1" applyBorder="1"/>
    <xf numFmtId="0" fontId="5" fillId="4" borderId="10" xfId="0" applyFont="1" applyFill="1" applyBorder="1" applyAlignment="1">
      <alignment horizontal="center"/>
    </xf>
    <xf numFmtId="0" fontId="5" fillId="4" borderId="10" xfId="0" applyFont="1" applyFill="1" applyBorder="1"/>
    <xf numFmtId="0" fontId="6" fillId="0" borderId="10" xfId="0" applyFont="1" applyBorder="1"/>
    <xf numFmtId="0" fontId="7" fillId="4" borderId="10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6" fillId="0" borderId="0" xfId="0" applyFont="1"/>
    <xf numFmtId="1" fontId="2" fillId="0" borderId="3" xfId="0" applyNumberFormat="1" applyFont="1" applyBorder="1" applyAlignment="1">
      <alignment horizontal="center"/>
    </xf>
    <xf numFmtId="1" fontId="0" fillId="0" borderId="0" xfId="0" applyNumberFormat="1"/>
    <xf numFmtId="1" fontId="2" fillId="4" borderId="3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11" fillId="0" borderId="0" xfId="0" applyFont="1"/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1" fontId="13" fillId="0" borderId="12" xfId="0" applyNumberFormat="1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49" fontId="10" fillId="2" borderId="11" xfId="0" applyNumberFormat="1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right"/>
    </xf>
    <xf numFmtId="49" fontId="10" fillId="2" borderId="11" xfId="0" applyNumberFormat="1" applyFont="1" applyFill="1" applyBorder="1"/>
    <xf numFmtId="49" fontId="10" fillId="4" borderId="11" xfId="0" applyNumberFormat="1" applyFont="1" applyFill="1" applyBorder="1" applyAlignment="1">
      <alignment horizontal="center"/>
    </xf>
    <xf numFmtId="49" fontId="10" fillId="4" borderId="10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/>
    <xf numFmtId="0" fontId="13" fillId="0" borderId="12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0" borderId="0" xfId="0" applyFont="1" applyAlignment="1">
      <alignment horizontal="center" vertical="center"/>
    </xf>
    <xf numFmtId="0" fontId="10" fillId="4" borderId="5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49" fontId="10" fillId="4" borderId="5" xfId="0" applyNumberFormat="1" applyFont="1" applyFill="1" applyBorder="1" applyAlignment="1">
      <alignment horizontal="center" wrapText="1"/>
    </xf>
    <xf numFmtId="49" fontId="10" fillId="4" borderId="8" xfId="0" applyNumberFormat="1" applyFont="1" applyFill="1" applyBorder="1" applyAlignment="1">
      <alignment horizontal="center" wrapText="1"/>
    </xf>
    <xf numFmtId="49" fontId="10" fillId="4" borderId="9" xfId="0" applyNumberFormat="1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15"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Marks Allocations for Different 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Marks!$D$6:$D$15</c:f>
              <c:strCache>
                <c:ptCount val="10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  <c:pt idx="6">
                  <c:v>CO7</c:v>
                </c:pt>
                <c:pt idx="7">
                  <c:v>CO8</c:v>
                </c:pt>
                <c:pt idx="8">
                  <c:v>CO9</c:v>
                </c:pt>
                <c:pt idx="9">
                  <c:v>CO10</c:v>
                </c:pt>
              </c:strCache>
            </c:strRef>
          </c:cat>
          <c:val>
            <c:numRef>
              <c:f>Marks!$BC$6:$BC$15</c:f>
              <c:numCache>
                <c:formatCode>General</c:formatCode>
                <c:ptCount val="10"/>
                <c:pt idx="0">
                  <c:v>40</c:v>
                </c:pt>
                <c:pt idx="1">
                  <c:v>70</c:v>
                </c:pt>
                <c:pt idx="2">
                  <c:v>110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8B-4072-BFEC-BCA9E8D1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930912"/>
        <c:axId val="109756173"/>
      </c:barChart>
      <c:catAx>
        <c:axId val="19559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Course Outcomes (COs)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9756173"/>
        <c:crosses val="autoZero"/>
        <c:auto val="1"/>
        <c:lblAlgn val="ctr"/>
        <c:lblOffset val="100"/>
        <c:noMultiLvlLbl val="1"/>
      </c:catAx>
      <c:valAx>
        <c:axId val="109756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Marks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559309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</xdr:row>
      <xdr:rowOff>19050</xdr:rowOff>
    </xdr:from>
    <xdr:ext cx="3419475" cy="2333625"/>
    <xdr:graphicFrame macro="">
      <xdr:nvGraphicFramePr>
        <xdr:cNvPr id="1888778701" name="Chart 1" title="Chart">
          <a:extLst>
            <a:ext uri="{FF2B5EF4-FFF2-40B4-BE49-F238E27FC236}">
              <a16:creationId xmlns:a16="http://schemas.microsoft.com/office/drawing/2014/main" id="{00000000-0008-0000-0200-0000CD799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27"/>
  <sheetViews>
    <sheetView tabSelected="1" topLeftCell="AE19" zoomScale="130" zoomScaleNormal="130" workbookViewId="0">
      <selection activeCell="H19" sqref="H19"/>
    </sheetView>
  </sheetViews>
  <sheetFormatPr defaultColWidth="14.44140625" defaultRowHeight="15" customHeight="1" x14ac:dyDescent="0.3"/>
  <cols>
    <col min="1" max="1" width="4.44140625" customWidth="1"/>
    <col min="2" max="2" width="20.88671875" style="20" customWidth="1"/>
    <col min="3" max="3" width="30.88671875" style="22" customWidth="1"/>
    <col min="4" max="4" width="6.109375" customWidth="1"/>
    <col min="5" max="5" width="5.5546875" customWidth="1"/>
    <col min="6" max="6" width="4.88671875" customWidth="1"/>
    <col min="7" max="7" width="5.88671875" customWidth="1"/>
    <col min="8" max="8" width="10.6640625" bestFit="1" customWidth="1"/>
    <col min="9" max="9" width="10" bestFit="1" customWidth="1"/>
    <col min="10" max="10" width="10.33203125" bestFit="1" customWidth="1"/>
    <col min="11" max="11" width="9.44140625" customWidth="1"/>
    <col min="12" max="12" width="6.33203125" customWidth="1"/>
    <col min="13" max="15" width="6.5546875" customWidth="1"/>
    <col min="16" max="16" width="8.44140625" customWidth="1"/>
    <col min="17" max="17" width="5.88671875" customWidth="1"/>
    <col min="18" max="19" width="5.109375" customWidth="1"/>
    <col min="20" max="20" width="10.6640625" bestFit="1" customWidth="1"/>
    <col min="21" max="26" width="5.109375" customWidth="1"/>
    <col min="27" max="29" width="5.88671875" customWidth="1"/>
    <col min="30" max="34" width="5.109375" customWidth="1"/>
    <col min="35" max="36" width="6.5546875" customWidth="1"/>
    <col min="37" max="54" width="5.109375" customWidth="1"/>
    <col min="55" max="55" width="6.109375" customWidth="1"/>
  </cols>
  <sheetData>
    <row r="1" spans="1:55" ht="24.6" x14ac:dyDescent="0.3">
      <c r="A1" s="46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55" ht="16.8" x14ac:dyDescent="0.3">
      <c r="A2" s="43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5" spans="1:55" ht="13.8" x14ac:dyDescent="0.3">
      <c r="E5" s="1">
        <v>1</v>
      </c>
      <c r="F5" s="1">
        <v>2</v>
      </c>
      <c r="G5" s="1">
        <v>3</v>
      </c>
      <c r="H5" s="1">
        <v>4</v>
      </c>
      <c r="I5" s="1">
        <v>5</v>
      </c>
      <c r="J5" s="1">
        <v>6</v>
      </c>
      <c r="K5" s="1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1">
        <v>13</v>
      </c>
      <c r="R5" s="1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1">
        <v>20</v>
      </c>
      <c r="Y5" s="1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1">
        <v>27</v>
      </c>
      <c r="AF5" s="1">
        <v>28</v>
      </c>
      <c r="AG5" s="1">
        <v>29</v>
      </c>
      <c r="AH5" s="1">
        <v>30</v>
      </c>
      <c r="AI5" s="1">
        <v>31</v>
      </c>
      <c r="AJ5" s="1">
        <v>32</v>
      </c>
      <c r="AK5" s="1">
        <v>33</v>
      </c>
      <c r="AL5" s="1">
        <v>34</v>
      </c>
      <c r="AM5" s="1">
        <v>35</v>
      </c>
      <c r="AN5" s="1">
        <v>36</v>
      </c>
      <c r="AO5" s="1">
        <v>37</v>
      </c>
      <c r="AP5" s="1">
        <v>38</v>
      </c>
      <c r="AQ5" s="1">
        <v>39</v>
      </c>
      <c r="AR5" s="1">
        <v>40</v>
      </c>
      <c r="AS5" s="1">
        <v>41</v>
      </c>
      <c r="AT5" s="1">
        <v>42</v>
      </c>
      <c r="AU5" s="1">
        <v>43</v>
      </c>
      <c r="AV5" s="1">
        <v>44</v>
      </c>
      <c r="AW5" s="1">
        <v>45</v>
      </c>
      <c r="AX5" s="1">
        <v>46</v>
      </c>
      <c r="AY5" s="1">
        <v>47</v>
      </c>
      <c r="AZ5" s="1">
        <v>48</v>
      </c>
      <c r="BA5" s="1">
        <v>49</v>
      </c>
      <c r="BB5" s="1">
        <v>50</v>
      </c>
    </row>
    <row r="6" spans="1:55" ht="13.8" x14ac:dyDescent="0.3">
      <c r="D6" s="1" t="s">
        <v>1</v>
      </c>
      <c r="E6" s="3">
        <f t="shared" ref="E6:M6" si="0">IF(E$24=1,E$23,0)</f>
        <v>10</v>
      </c>
      <c r="F6" s="3">
        <f t="shared" si="0"/>
        <v>0</v>
      </c>
      <c r="G6" s="3">
        <f t="shared" si="0"/>
        <v>0</v>
      </c>
      <c r="H6" s="3">
        <f t="shared" si="0"/>
        <v>0</v>
      </c>
      <c r="I6" s="3">
        <f t="shared" si="0"/>
        <v>0</v>
      </c>
      <c r="J6" s="3">
        <f t="shared" si="0"/>
        <v>0</v>
      </c>
      <c r="K6" s="3">
        <f t="shared" si="0"/>
        <v>30</v>
      </c>
      <c r="L6" s="3">
        <f t="shared" si="0"/>
        <v>0</v>
      </c>
      <c r="M6" s="3">
        <f t="shared" si="0"/>
        <v>0</v>
      </c>
      <c r="N6" s="3">
        <f>IF(N$24=1,N$23,0)</f>
        <v>0</v>
      </c>
      <c r="O6" s="3">
        <f>IF(O$24=1,O$23,0)</f>
        <v>0</v>
      </c>
      <c r="P6" s="3">
        <f>IF(P$24=1,P$23,0)</f>
        <v>0</v>
      </c>
      <c r="Q6" s="3">
        <v>0</v>
      </c>
      <c r="R6" s="3">
        <f>IF(R$24=1,R$23,0)</f>
        <v>0</v>
      </c>
      <c r="S6" s="3">
        <f>IF(S$24=1,S$23,0)</f>
        <v>0</v>
      </c>
      <c r="T6" s="3">
        <f>IF(T$24=1,T$23,0)</f>
        <v>0</v>
      </c>
      <c r="U6" s="3">
        <f t="shared" ref="U6:BB6" si="1">IF(U$24=1,U$23,0)</f>
        <v>0</v>
      </c>
      <c r="V6" s="3">
        <f t="shared" si="1"/>
        <v>0</v>
      </c>
      <c r="W6" s="3">
        <f t="shared" si="1"/>
        <v>0</v>
      </c>
      <c r="X6" s="3">
        <f t="shared" si="1"/>
        <v>0</v>
      </c>
      <c r="Y6" s="3">
        <f t="shared" si="1"/>
        <v>0</v>
      </c>
      <c r="Z6" s="3">
        <f t="shared" si="1"/>
        <v>0</v>
      </c>
      <c r="AA6" s="3">
        <f t="shared" si="1"/>
        <v>0</v>
      </c>
      <c r="AB6" s="3">
        <f t="shared" si="1"/>
        <v>0</v>
      </c>
      <c r="AC6" s="3">
        <f t="shared" si="1"/>
        <v>0</v>
      </c>
      <c r="AD6" s="3">
        <f t="shared" si="1"/>
        <v>0</v>
      </c>
      <c r="AE6" s="3">
        <f t="shared" si="1"/>
        <v>0</v>
      </c>
      <c r="AF6" s="3">
        <f t="shared" si="1"/>
        <v>0</v>
      </c>
      <c r="AG6" s="3">
        <f t="shared" si="1"/>
        <v>0</v>
      </c>
      <c r="AH6" s="3">
        <f t="shared" si="1"/>
        <v>0</v>
      </c>
      <c r="AI6" s="3">
        <f t="shared" si="1"/>
        <v>0</v>
      </c>
      <c r="AJ6" s="3">
        <f t="shared" si="1"/>
        <v>0</v>
      </c>
      <c r="AK6" s="3">
        <f t="shared" si="1"/>
        <v>0</v>
      </c>
      <c r="AL6" s="3">
        <f t="shared" si="1"/>
        <v>0</v>
      </c>
      <c r="AM6" s="3">
        <f t="shared" si="1"/>
        <v>0</v>
      </c>
      <c r="AN6" s="3">
        <f t="shared" si="1"/>
        <v>0</v>
      </c>
      <c r="AO6" s="3">
        <f t="shared" si="1"/>
        <v>0</v>
      </c>
      <c r="AP6" s="3">
        <f t="shared" si="1"/>
        <v>0</v>
      </c>
      <c r="AQ6" s="3">
        <f t="shared" si="1"/>
        <v>0</v>
      </c>
      <c r="AR6" s="3">
        <f t="shared" si="1"/>
        <v>0</v>
      </c>
      <c r="AS6" s="3">
        <f t="shared" si="1"/>
        <v>0</v>
      </c>
      <c r="AT6" s="3">
        <f t="shared" si="1"/>
        <v>0</v>
      </c>
      <c r="AU6" s="3">
        <f t="shared" si="1"/>
        <v>0</v>
      </c>
      <c r="AV6" s="3">
        <f t="shared" si="1"/>
        <v>0</v>
      </c>
      <c r="AW6" s="3">
        <f t="shared" si="1"/>
        <v>0</v>
      </c>
      <c r="AX6" s="3">
        <f t="shared" si="1"/>
        <v>0</v>
      </c>
      <c r="AY6" s="3">
        <f t="shared" si="1"/>
        <v>0</v>
      </c>
      <c r="AZ6" s="3">
        <f t="shared" si="1"/>
        <v>0</v>
      </c>
      <c r="BA6" s="3">
        <f t="shared" si="1"/>
        <v>0</v>
      </c>
      <c r="BB6" s="3">
        <f t="shared" si="1"/>
        <v>0</v>
      </c>
      <c r="BC6" s="1">
        <f t="shared" ref="BC6:BC17" si="2">SUM(E6:BB6)</f>
        <v>40</v>
      </c>
    </row>
    <row r="7" spans="1:55" ht="13.8" x14ac:dyDescent="0.3">
      <c r="D7" s="1" t="s">
        <v>2</v>
      </c>
      <c r="E7" s="3">
        <f t="shared" ref="E7:M7" si="3">IF(E$24=2,E$23,0)</f>
        <v>0</v>
      </c>
      <c r="F7" s="3">
        <f t="shared" si="3"/>
        <v>10</v>
      </c>
      <c r="G7" s="3">
        <f t="shared" si="3"/>
        <v>0</v>
      </c>
      <c r="H7" s="3">
        <f t="shared" si="3"/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  <c r="L7" s="3">
        <f t="shared" si="3"/>
        <v>30</v>
      </c>
      <c r="M7" s="3">
        <f t="shared" si="3"/>
        <v>0</v>
      </c>
      <c r="N7" s="3">
        <f>IF(N$24=2,N$23,0)</f>
        <v>30</v>
      </c>
      <c r="O7" s="3">
        <f>IF(O$24=2,O$23,0)</f>
        <v>0</v>
      </c>
      <c r="P7" s="3">
        <f>IF(P$24=2,P$23,0)</f>
        <v>0</v>
      </c>
      <c r="Q7" s="3">
        <v>0</v>
      </c>
      <c r="R7" s="3">
        <f>IF(R$24=2,R$23,0)</f>
        <v>0</v>
      </c>
      <c r="S7" s="3">
        <f>IF(S$24=2,S$23,0)</f>
        <v>0</v>
      </c>
      <c r="T7" s="3">
        <f>IF(T$24=2,T$23,0)</f>
        <v>0</v>
      </c>
      <c r="U7" s="3">
        <f t="shared" ref="U7:BB7" si="4">IF(U$24=2,U$23,0)</f>
        <v>0</v>
      </c>
      <c r="V7" s="3">
        <f t="shared" si="4"/>
        <v>0</v>
      </c>
      <c r="W7" s="3">
        <f t="shared" si="4"/>
        <v>0</v>
      </c>
      <c r="X7" s="3">
        <f t="shared" si="4"/>
        <v>0</v>
      </c>
      <c r="Y7" s="3">
        <f t="shared" si="4"/>
        <v>0</v>
      </c>
      <c r="Z7" s="3">
        <f t="shared" si="4"/>
        <v>0</v>
      </c>
      <c r="AA7" s="3">
        <f t="shared" si="4"/>
        <v>0</v>
      </c>
      <c r="AB7" s="3">
        <f t="shared" si="4"/>
        <v>0</v>
      </c>
      <c r="AC7" s="3">
        <f t="shared" si="4"/>
        <v>0</v>
      </c>
      <c r="AD7" s="3">
        <f t="shared" si="4"/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3">
        <f t="shared" si="4"/>
        <v>0</v>
      </c>
      <c r="AI7" s="3">
        <f t="shared" si="4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4"/>
        <v>0</v>
      </c>
      <c r="AS7" s="3">
        <f t="shared" si="4"/>
        <v>0</v>
      </c>
      <c r="AT7" s="3">
        <f t="shared" si="4"/>
        <v>0</v>
      </c>
      <c r="AU7" s="3">
        <f t="shared" si="4"/>
        <v>0</v>
      </c>
      <c r="AV7" s="3">
        <f t="shared" si="4"/>
        <v>0</v>
      </c>
      <c r="AW7" s="3">
        <f t="shared" si="4"/>
        <v>0</v>
      </c>
      <c r="AX7" s="3">
        <f t="shared" si="4"/>
        <v>0</v>
      </c>
      <c r="AY7" s="3">
        <f t="shared" si="4"/>
        <v>0</v>
      </c>
      <c r="AZ7" s="3">
        <f t="shared" si="4"/>
        <v>0</v>
      </c>
      <c r="BA7" s="3">
        <f t="shared" si="4"/>
        <v>0</v>
      </c>
      <c r="BB7" s="3">
        <f t="shared" si="4"/>
        <v>0</v>
      </c>
      <c r="BC7" s="1">
        <f t="shared" si="2"/>
        <v>70</v>
      </c>
    </row>
    <row r="8" spans="1:55" ht="13.8" x14ac:dyDescent="0.3">
      <c r="D8" s="1" t="s">
        <v>3</v>
      </c>
      <c r="E8" s="3">
        <f t="shared" ref="E8:M8" si="5">IF(E$24=3,E$23,0)</f>
        <v>0</v>
      </c>
      <c r="F8" s="3">
        <f t="shared" si="5"/>
        <v>0</v>
      </c>
      <c r="G8" s="3">
        <f t="shared" si="5"/>
        <v>10</v>
      </c>
      <c r="H8" s="3">
        <f t="shared" si="5"/>
        <v>10</v>
      </c>
      <c r="I8" s="3">
        <f t="shared" si="5"/>
        <v>0</v>
      </c>
      <c r="J8" s="3">
        <f t="shared" si="5"/>
        <v>0</v>
      </c>
      <c r="K8" s="3">
        <f t="shared" si="5"/>
        <v>0</v>
      </c>
      <c r="L8" s="3">
        <f t="shared" si="5"/>
        <v>0</v>
      </c>
      <c r="M8" s="3">
        <f t="shared" si="5"/>
        <v>30</v>
      </c>
      <c r="N8" s="3">
        <f>IF(N$24=3,N$23,0)</f>
        <v>0</v>
      </c>
      <c r="O8" s="3">
        <f>IF(O$24=3,O$23,0)</f>
        <v>30</v>
      </c>
      <c r="P8" s="3">
        <f>IF(P$24=3,P$23,0)</f>
        <v>30</v>
      </c>
      <c r="Q8" s="3">
        <v>0</v>
      </c>
      <c r="R8" s="3">
        <f>IF(R$24=3,R$23,0)</f>
        <v>0</v>
      </c>
      <c r="S8" s="3">
        <f>IF(S$24=3,S$23,0)</f>
        <v>0</v>
      </c>
      <c r="T8" s="3">
        <f>IF(T$24=3,T$23,0)</f>
        <v>0</v>
      </c>
      <c r="U8" s="3">
        <f t="shared" ref="U8:BB8" si="6">IF(U$24=3,U$23,0)</f>
        <v>0</v>
      </c>
      <c r="V8" s="3">
        <f t="shared" si="6"/>
        <v>0</v>
      </c>
      <c r="W8" s="3">
        <f t="shared" si="6"/>
        <v>0</v>
      </c>
      <c r="X8" s="3">
        <f t="shared" si="6"/>
        <v>0</v>
      </c>
      <c r="Y8" s="3">
        <f t="shared" si="6"/>
        <v>0</v>
      </c>
      <c r="Z8" s="3">
        <f t="shared" si="6"/>
        <v>0</v>
      </c>
      <c r="AA8" s="3">
        <f t="shared" si="6"/>
        <v>0</v>
      </c>
      <c r="AB8" s="3">
        <f t="shared" si="6"/>
        <v>0</v>
      </c>
      <c r="AC8" s="3">
        <f t="shared" si="6"/>
        <v>0</v>
      </c>
      <c r="AD8" s="3">
        <f t="shared" si="6"/>
        <v>0</v>
      </c>
      <c r="AE8" s="3">
        <f t="shared" si="6"/>
        <v>0</v>
      </c>
      <c r="AF8" s="3">
        <f t="shared" si="6"/>
        <v>0</v>
      </c>
      <c r="AG8" s="3">
        <f t="shared" si="6"/>
        <v>0</v>
      </c>
      <c r="AH8" s="3">
        <f t="shared" si="6"/>
        <v>0</v>
      </c>
      <c r="AI8" s="3">
        <f t="shared" si="6"/>
        <v>0</v>
      </c>
      <c r="AJ8" s="3">
        <f t="shared" si="6"/>
        <v>0</v>
      </c>
      <c r="AK8" s="3">
        <f t="shared" si="6"/>
        <v>0</v>
      </c>
      <c r="AL8" s="3">
        <f t="shared" si="6"/>
        <v>0</v>
      </c>
      <c r="AM8" s="3">
        <f t="shared" si="6"/>
        <v>0</v>
      </c>
      <c r="AN8" s="3">
        <f t="shared" si="6"/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3">
        <f t="shared" si="6"/>
        <v>0</v>
      </c>
      <c r="AS8" s="3">
        <f t="shared" si="6"/>
        <v>0</v>
      </c>
      <c r="AT8" s="3">
        <f t="shared" si="6"/>
        <v>0</v>
      </c>
      <c r="AU8" s="3">
        <f t="shared" si="6"/>
        <v>0</v>
      </c>
      <c r="AV8" s="3">
        <f t="shared" si="6"/>
        <v>0</v>
      </c>
      <c r="AW8" s="3">
        <f t="shared" si="6"/>
        <v>0</v>
      </c>
      <c r="AX8" s="3">
        <f t="shared" si="6"/>
        <v>0</v>
      </c>
      <c r="AY8" s="3">
        <f t="shared" si="6"/>
        <v>0</v>
      </c>
      <c r="AZ8" s="3">
        <f t="shared" si="6"/>
        <v>0</v>
      </c>
      <c r="BA8" s="3">
        <f t="shared" si="6"/>
        <v>0</v>
      </c>
      <c r="BB8" s="3">
        <f t="shared" si="6"/>
        <v>0</v>
      </c>
      <c r="BC8" s="1">
        <f t="shared" si="2"/>
        <v>110</v>
      </c>
    </row>
    <row r="9" spans="1:55" ht="13.8" x14ac:dyDescent="0.3">
      <c r="D9" s="1" t="s">
        <v>4</v>
      </c>
      <c r="E9" s="3">
        <f t="shared" ref="E9:M9" si="7">IF(E$24=4,E$23,0)</f>
        <v>0</v>
      </c>
      <c r="F9" s="3">
        <f t="shared" si="7"/>
        <v>0</v>
      </c>
      <c r="G9" s="3">
        <f t="shared" si="7"/>
        <v>0</v>
      </c>
      <c r="H9" s="3">
        <f t="shared" si="7"/>
        <v>0</v>
      </c>
      <c r="I9" s="3">
        <f t="shared" si="7"/>
        <v>0</v>
      </c>
      <c r="J9" s="3">
        <f t="shared" si="7"/>
        <v>0</v>
      </c>
      <c r="K9" s="3">
        <f t="shared" si="7"/>
        <v>0</v>
      </c>
      <c r="L9" s="3">
        <f t="shared" si="7"/>
        <v>0</v>
      </c>
      <c r="M9" s="3">
        <f t="shared" si="7"/>
        <v>0</v>
      </c>
      <c r="N9" s="3">
        <f>IF(N$24=4,N$23,0)</f>
        <v>0</v>
      </c>
      <c r="O9" s="3">
        <f>IF(O$24=4,O$23,0)</f>
        <v>0</v>
      </c>
      <c r="P9" s="3">
        <f>IF(P$24=4,P$23,0)</f>
        <v>0</v>
      </c>
      <c r="Q9" s="3">
        <v>0</v>
      </c>
      <c r="R9" s="3">
        <f>IF(R$24=4,R$23,0)</f>
        <v>30</v>
      </c>
      <c r="S9" s="3">
        <f>IF(S$24=4,S$23,0)</f>
        <v>0</v>
      </c>
      <c r="T9" s="3">
        <f>IF(T$24=4,T$23,0)</f>
        <v>0</v>
      </c>
      <c r="U9" s="3">
        <f t="shared" ref="U9:BB9" si="8">IF(U$24=4,U$23,0)</f>
        <v>0</v>
      </c>
      <c r="V9" s="3">
        <f t="shared" si="8"/>
        <v>0</v>
      </c>
      <c r="W9" s="3">
        <f t="shared" si="8"/>
        <v>0</v>
      </c>
      <c r="X9" s="3">
        <f t="shared" si="8"/>
        <v>0</v>
      </c>
      <c r="Y9" s="3">
        <f t="shared" si="8"/>
        <v>0</v>
      </c>
      <c r="Z9" s="3">
        <f t="shared" si="8"/>
        <v>0</v>
      </c>
      <c r="AA9" s="3">
        <f t="shared" si="8"/>
        <v>0</v>
      </c>
      <c r="AB9" s="3">
        <f t="shared" si="8"/>
        <v>0</v>
      </c>
      <c r="AC9" s="3">
        <f t="shared" si="8"/>
        <v>0</v>
      </c>
      <c r="AD9" s="3">
        <f t="shared" si="8"/>
        <v>0</v>
      </c>
      <c r="AE9" s="3">
        <f t="shared" si="8"/>
        <v>0</v>
      </c>
      <c r="AF9" s="3">
        <f t="shared" si="8"/>
        <v>0</v>
      </c>
      <c r="AG9" s="3">
        <f t="shared" si="8"/>
        <v>0</v>
      </c>
      <c r="AH9" s="3">
        <f t="shared" si="8"/>
        <v>0</v>
      </c>
      <c r="AI9" s="3">
        <f t="shared" si="8"/>
        <v>0</v>
      </c>
      <c r="AJ9" s="3">
        <f t="shared" si="8"/>
        <v>0</v>
      </c>
      <c r="AK9" s="3">
        <f t="shared" si="8"/>
        <v>0</v>
      </c>
      <c r="AL9" s="3">
        <f t="shared" si="8"/>
        <v>0</v>
      </c>
      <c r="AM9" s="3">
        <f t="shared" si="8"/>
        <v>0</v>
      </c>
      <c r="AN9" s="3">
        <f t="shared" si="8"/>
        <v>0</v>
      </c>
      <c r="AO9" s="3">
        <f t="shared" si="8"/>
        <v>0</v>
      </c>
      <c r="AP9" s="3">
        <f t="shared" si="8"/>
        <v>0</v>
      </c>
      <c r="AQ9" s="3">
        <f t="shared" si="8"/>
        <v>0</v>
      </c>
      <c r="AR9" s="3">
        <f t="shared" si="8"/>
        <v>0</v>
      </c>
      <c r="AS9" s="3">
        <f t="shared" si="8"/>
        <v>0</v>
      </c>
      <c r="AT9" s="3">
        <f t="shared" si="8"/>
        <v>0</v>
      </c>
      <c r="AU9" s="3">
        <f t="shared" si="8"/>
        <v>0</v>
      </c>
      <c r="AV9" s="3">
        <f t="shared" si="8"/>
        <v>0</v>
      </c>
      <c r="AW9" s="3">
        <f t="shared" si="8"/>
        <v>0</v>
      </c>
      <c r="AX9" s="3">
        <f t="shared" si="8"/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3">
        <f t="shared" si="8"/>
        <v>0</v>
      </c>
      <c r="BC9" s="1">
        <f t="shared" si="2"/>
        <v>30</v>
      </c>
    </row>
    <row r="10" spans="1:55" ht="13.8" x14ac:dyDescent="0.3">
      <c r="D10" s="1" t="s">
        <v>5</v>
      </c>
      <c r="E10" s="3">
        <f t="shared" ref="E10:M10" si="9">IF(E$24=5,E$23,0)</f>
        <v>0</v>
      </c>
      <c r="F10" s="3">
        <f t="shared" si="9"/>
        <v>0</v>
      </c>
      <c r="G10" s="3">
        <f t="shared" si="9"/>
        <v>0</v>
      </c>
      <c r="H10" s="3">
        <f t="shared" si="9"/>
        <v>0</v>
      </c>
      <c r="I10" s="3">
        <f t="shared" si="9"/>
        <v>0</v>
      </c>
      <c r="J10" s="3">
        <f t="shared" si="9"/>
        <v>0</v>
      </c>
      <c r="K10" s="3">
        <f t="shared" si="9"/>
        <v>0</v>
      </c>
      <c r="L10" s="3">
        <f t="shared" si="9"/>
        <v>0</v>
      </c>
      <c r="M10" s="3">
        <f t="shared" si="9"/>
        <v>0</v>
      </c>
      <c r="N10" s="3">
        <f>IF(N$24=5,N$23,0)</f>
        <v>0</v>
      </c>
      <c r="O10" s="3">
        <f>IF(O$24=5,O$23,0)</f>
        <v>0</v>
      </c>
      <c r="P10" s="3">
        <f>IF(P$24=5,P$23,0)</f>
        <v>0</v>
      </c>
      <c r="Q10" s="3">
        <v>0</v>
      </c>
      <c r="R10" s="3">
        <f>IF(R$24=5,R$23,0)</f>
        <v>0</v>
      </c>
      <c r="S10" s="3">
        <f>IF(S$24=5,S$23,0)</f>
        <v>0</v>
      </c>
      <c r="T10" s="3">
        <f>IF(T$24=5,T$23,0)</f>
        <v>0</v>
      </c>
      <c r="U10" s="3">
        <f t="shared" ref="U10:BB10" si="10">IF(U$24=5,U$23,0)</f>
        <v>0</v>
      </c>
      <c r="V10" s="3">
        <f t="shared" si="10"/>
        <v>0</v>
      </c>
      <c r="W10" s="3">
        <f t="shared" si="10"/>
        <v>0</v>
      </c>
      <c r="X10" s="3">
        <f t="shared" si="10"/>
        <v>0</v>
      </c>
      <c r="Y10" s="3">
        <f t="shared" si="10"/>
        <v>0</v>
      </c>
      <c r="Z10" s="3">
        <f t="shared" si="10"/>
        <v>0</v>
      </c>
      <c r="AA10" s="3">
        <f t="shared" si="10"/>
        <v>0</v>
      </c>
      <c r="AB10" s="3">
        <f t="shared" si="10"/>
        <v>0</v>
      </c>
      <c r="AC10" s="3">
        <f t="shared" si="10"/>
        <v>0</v>
      </c>
      <c r="AD10" s="3">
        <f t="shared" si="10"/>
        <v>0</v>
      </c>
      <c r="AE10" s="3">
        <f t="shared" si="10"/>
        <v>0</v>
      </c>
      <c r="AF10" s="3">
        <f t="shared" si="10"/>
        <v>0</v>
      </c>
      <c r="AG10" s="3">
        <f t="shared" si="10"/>
        <v>0</v>
      </c>
      <c r="AH10" s="3">
        <f t="shared" si="10"/>
        <v>0</v>
      </c>
      <c r="AI10" s="3">
        <f t="shared" si="10"/>
        <v>0</v>
      </c>
      <c r="AJ10" s="3">
        <f t="shared" si="10"/>
        <v>0</v>
      </c>
      <c r="AK10" s="3">
        <f t="shared" si="10"/>
        <v>0</v>
      </c>
      <c r="AL10" s="3">
        <f t="shared" si="10"/>
        <v>0</v>
      </c>
      <c r="AM10" s="3">
        <f t="shared" si="10"/>
        <v>0</v>
      </c>
      <c r="AN10" s="3">
        <f t="shared" si="10"/>
        <v>0</v>
      </c>
      <c r="AO10" s="3">
        <f t="shared" si="10"/>
        <v>0</v>
      </c>
      <c r="AP10" s="3">
        <f t="shared" si="10"/>
        <v>0</v>
      </c>
      <c r="AQ10" s="3">
        <f t="shared" si="10"/>
        <v>0</v>
      </c>
      <c r="AR10" s="3">
        <f t="shared" si="10"/>
        <v>0</v>
      </c>
      <c r="AS10" s="3">
        <f t="shared" si="10"/>
        <v>0</v>
      </c>
      <c r="AT10" s="3">
        <f t="shared" si="10"/>
        <v>0</v>
      </c>
      <c r="AU10" s="3">
        <f t="shared" si="10"/>
        <v>0</v>
      </c>
      <c r="AV10" s="3">
        <f t="shared" si="10"/>
        <v>0</v>
      </c>
      <c r="AW10" s="3">
        <f t="shared" si="10"/>
        <v>0</v>
      </c>
      <c r="AX10" s="3">
        <f t="shared" si="10"/>
        <v>0</v>
      </c>
      <c r="AY10" s="3">
        <f t="shared" si="10"/>
        <v>0</v>
      </c>
      <c r="AZ10" s="3">
        <f t="shared" si="10"/>
        <v>0</v>
      </c>
      <c r="BA10" s="3">
        <f t="shared" si="10"/>
        <v>0</v>
      </c>
      <c r="BB10" s="3">
        <f t="shared" si="10"/>
        <v>0</v>
      </c>
      <c r="BC10" s="1">
        <f t="shared" si="2"/>
        <v>0</v>
      </c>
    </row>
    <row r="11" spans="1:55" ht="13.8" x14ac:dyDescent="0.3">
      <c r="D11" s="1" t="s">
        <v>6</v>
      </c>
      <c r="E11" s="3">
        <f t="shared" ref="E11:M11" si="11">IF(E$24=6,E$23,0)</f>
        <v>0</v>
      </c>
      <c r="F11" s="3">
        <f t="shared" si="11"/>
        <v>0</v>
      </c>
      <c r="G11" s="3">
        <f t="shared" si="11"/>
        <v>0</v>
      </c>
      <c r="H11" s="3">
        <f t="shared" si="11"/>
        <v>0</v>
      </c>
      <c r="I11" s="3">
        <f t="shared" si="11"/>
        <v>0</v>
      </c>
      <c r="J11" s="3">
        <f t="shared" si="11"/>
        <v>0</v>
      </c>
      <c r="K11" s="3">
        <f t="shared" si="11"/>
        <v>0</v>
      </c>
      <c r="L11" s="3">
        <f t="shared" si="11"/>
        <v>0</v>
      </c>
      <c r="M11" s="3">
        <f t="shared" si="11"/>
        <v>0</v>
      </c>
      <c r="N11" s="3">
        <f>IF(N$24=6,N$23,0)</f>
        <v>0</v>
      </c>
      <c r="O11" s="3">
        <f>IF(O$24=6,O$23,0)</f>
        <v>0</v>
      </c>
      <c r="P11" s="3">
        <f>IF(P$24=6,P$23,0)</f>
        <v>0</v>
      </c>
      <c r="Q11" s="3">
        <v>0</v>
      </c>
      <c r="R11" s="3">
        <f>IF(R$24=6,R$23,0)</f>
        <v>0</v>
      </c>
      <c r="S11" s="3">
        <f>IF(S$24=6,S$23,0)</f>
        <v>0</v>
      </c>
      <c r="T11" s="3">
        <f>IF(T$24=6,T$23,0)</f>
        <v>0</v>
      </c>
      <c r="U11" s="3">
        <f t="shared" ref="U11:BB11" si="12">IF(U$24=6,U$23,0)</f>
        <v>0</v>
      </c>
      <c r="V11" s="3">
        <f t="shared" si="12"/>
        <v>0</v>
      </c>
      <c r="W11" s="3">
        <f t="shared" si="12"/>
        <v>0</v>
      </c>
      <c r="X11" s="3">
        <f t="shared" si="12"/>
        <v>0</v>
      </c>
      <c r="Y11" s="3">
        <f t="shared" si="12"/>
        <v>0</v>
      </c>
      <c r="Z11" s="3">
        <f t="shared" si="12"/>
        <v>0</v>
      </c>
      <c r="AA11" s="3">
        <f t="shared" si="12"/>
        <v>0</v>
      </c>
      <c r="AB11" s="3">
        <f t="shared" si="12"/>
        <v>0</v>
      </c>
      <c r="AC11" s="3">
        <f t="shared" si="12"/>
        <v>0</v>
      </c>
      <c r="AD11" s="3">
        <f t="shared" si="12"/>
        <v>0</v>
      </c>
      <c r="AE11" s="3">
        <f t="shared" si="12"/>
        <v>0</v>
      </c>
      <c r="AF11" s="3">
        <f t="shared" si="12"/>
        <v>0</v>
      </c>
      <c r="AG11" s="3">
        <f t="shared" si="12"/>
        <v>0</v>
      </c>
      <c r="AH11" s="3">
        <f t="shared" si="12"/>
        <v>0</v>
      </c>
      <c r="AI11" s="3">
        <f t="shared" si="12"/>
        <v>0</v>
      </c>
      <c r="AJ11" s="3">
        <f t="shared" si="12"/>
        <v>0</v>
      </c>
      <c r="AK11" s="3">
        <f t="shared" si="12"/>
        <v>0</v>
      </c>
      <c r="AL11" s="3">
        <f t="shared" si="12"/>
        <v>0</v>
      </c>
      <c r="AM11" s="3">
        <f t="shared" si="12"/>
        <v>0</v>
      </c>
      <c r="AN11" s="3">
        <f t="shared" si="12"/>
        <v>0</v>
      </c>
      <c r="AO11" s="3">
        <f t="shared" si="12"/>
        <v>0</v>
      </c>
      <c r="AP11" s="3">
        <f t="shared" si="12"/>
        <v>0</v>
      </c>
      <c r="AQ11" s="3">
        <f t="shared" si="12"/>
        <v>0</v>
      </c>
      <c r="AR11" s="3">
        <f t="shared" si="12"/>
        <v>0</v>
      </c>
      <c r="AS11" s="3">
        <f t="shared" si="12"/>
        <v>0</v>
      </c>
      <c r="AT11" s="3">
        <f t="shared" si="12"/>
        <v>0</v>
      </c>
      <c r="AU11" s="3">
        <f t="shared" si="12"/>
        <v>0</v>
      </c>
      <c r="AV11" s="3">
        <f t="shared" si="12"/>
        <v>0</v>
      </c>
      <c r="AW11" s="3">
        <f t="shared" si="12"/>
        <v>0</v>
      </c>
      <c r="AX11" s="3">
        <f t="shared" si="12"/>
        <v>0</v>
      </c>
      <c r="AY11" s="3">
        <f t="shared" si="12"/>
        <v>0</v>
      </c>
      <c r="AZ11" s="3">
        <f t="shared" si="12"/>
        <v>0</v>
      </c>
      <c r="BA11" s="3">
        <f t="shared" si="12"/>
        <v>0</v>
      </c>
      <c r="BB11" s="3">
        <f t="shared" si="12"/>
        <v>0</v>
      </c>
      <c r="BC11" s="1">
        <f t="shared" si="2"/>
        <v>0</v>
      </c>
    </row>
    <row r="12" spans="1:55" ht="13.8" x14ac:dyDescent="0.3">
      <c r="D12" s="1" t="s">
        <v>7</v>
      </c>
      <c r="E12" s="3">
        <f t="shared" ref="E12:M12" si="13">IF(E$24=7,E$23,0)</f>
        <v>0</v>
      </c>
      <c r="F12" s="3">
        <f t="shared" si="13"/>
        <v>0</v>
      </c>
      <c r="G12" s="3">
        <f t="shared" si="13"/>
        <v>0</v>
      </c>
      <c r="H12" s="3">
        <f t="shared" si="13"/>
        <v>0</v>
      </c>
      <c r="I12" s="3">
        <f t="shared" si="13"/>
        <v>0</v>
      </c>
      <c r="J12" s="3">
        <f t="shared" si="13"/>
        <v>0</v>
      </c>
      <c r="K12" s="3">
        <f t="shared" si="13"/>
        <v>0</v>
      </c>
      <c r="L12" s="3">
        <f t="shared" si="13"/>
        <v>0</v>
      </c>
      <c r="M12" s="3">
        <f t="shared" si="13"/>
        <v>0</v>
      </c>
      <c r="N12" s="3">
        <f>IF(N$24=7,N$23,0)</f>
        <v>0</v>
      </c>
      <c r="O12" s="3">
        <f>IF(O$24=7,O$23,0)</f>
        <v>0</v>
      </c>
      <c r="P12" s="3">
        <f>IF(P$24=7,P$23,0)</f>
        <v>0</v>
      </c>
      <c r="Q12" s="3">
        <v>0</v>
      </c>
      <c r="R12" s="3">
        <f>IF(R$24=7,R$23,0)</f>
        <v>0</v>
      </c>
      <c r="S12" s="3">
        <f>IF(S$24=7,S$23,0)</f>
        <v>0</v>
      </c>
      <c r="T12" s="3">
        <f>IF(T$24=7,T$23,0)</f>
        <v>0</v>
      </c>
      <c r="U12" s="3">
        <f t="shared" ref="U12:BB12" si="14">IF(U$24=7,U$23,0)</f>
        <v>0</v>
      </c>
      <c r="V12" s="3">
        <f t="shared" si="14"/>
        <v>0</v>
      </c>
      <c r="W12" s="3">
        <f t="shared" si="14"/>
        <v>0</v>
      </c>
      <c r="X12" s="3">
        <f t="shared" si="14"/>
        <v>0</v>
      </c>
      <c r="Y12" s="3">
        <f t="shared" si="14"/>
        <v>0</v>
      </c>
      <c r="Z12" s="3">
        <f t="shared" si="14"/>
        <v>0</v>
      </c>
      <c r="AA12" s="3">
        <f t="shared" si="14"/>
        <v>0</v>
      </c>
      <c r="AB12" s="3">
        <f t="shared" si="14"/>
        <v>0</v>
      </c>
      <c r="AC12" s="3">
        <f t="shared" si="14"/>
        <v>0</v>
      </c>
      <c r="AD12" s="3">
        <f t="shared" si="14"/>
        <v>0</v>
      </c>
      <c r="AE12" s="3">
        <f t="shared" si="14"/>
        <v>0</v>
      </c>
      <c r="AF12" s="3">
        <f t="shared" si="14"/>
        <v>0</v>
      </c>
      <c r="AG12" s="3">
        <f t="shared" si="14"/>
        <v>0</v>
      </c>
      <c r="AH12" s="3">
        <f t="shared" si="14"/>
        <v>0</v>
      </c>
      <c r="AI12" s="3">
        <f t="shared" si="14"/>
        <v>0</v>
      </c>
      <c r="AJ12" s="3">
        <f t="shared" si="14"/>
        <v>0</v>
      </c>
      <c r="AK12" s="3">
        <f t="shared" si="14"/>
        <v>0</v>
      </c>
      <c r="AL12" s="3">
        <f t="shared" si="14"/>
        <v>0</v>
      </c>
      <c r="AM12" s="3">
        <f t="shared" si="14"/>
        <v>0</v>
      </c>
      <c r="AN12" s="3">
        <f t="shared" si="14"/>
        <v>0</v>
      </c>
      <c r="AO12" s="3">
        <f t="shared" si="14"/>
        <v>0</v>
      </c>
      <c r="AP12" s="3">
        <f t="shared" si="14"/>
        <v>0</v>
      </c>
      <c r="AQ12" s="3">
        <f t="shared" si="14"/>
        <v>0</v>
      </c>
      <c r="AR12" s="3">
        <f t="shared" si="14"/>
        <v>0</v>
      </c>
      <c r="AS12" s="3">
        <f t="shared" si="14"/>
        <v>0</v>
      </c>
      <c r="AT12" s="3">
        <f t="shared" si="14"/>
        <v>0</v>
      </c>
      <c r="AU12" s="3">
        <f t="shared" si="14"/>
        <v>0</v>
      </c>
      <c r="AV12" s="3">
        <f t="shared" si="14"/>
        <v>0</v>
      </c>
      <c r="AW12" s="3">
        <f t="shared" si="14"/>
        <v>0</v>
      </c>
      <c r="AX12" s="3">
        <f t="shared" si="14"/>
        <v>0</v>
      </c>
      <c r="AY12" s="3">
        <f t="shared" si="14"/>
        <v>0</v>
      </c>
      <c r="AZ12" s="3">
        <f t="shared" si="14"/>
        <v>0</v>
      </c>
      <c r="BA12" s="3">
        <f t="shared" si="14"/>
        <v>0</v>
      </c>
      <c r="BB12" s="3">
        <f t="shared" si="14"/>
        <v>0</v>
      </c>
      <c r="BC12" s="1">
        <f t="shared" si="2"/>
        <v>0</v>
      </c>
    </row>
    <row r="13" spans="1:55" ht="13.8" x14ac:dyDescent="0.3">
      <c r="D13" s="1" t="s">
        <v>8</v>
      </c>
      <c r="E13" s="3">
        <f t="shared" ref="E13:M13" si="15">IF(E$24=8,E$23,0)</f>
        <v>0</v>
      </c>
      <c r="F13" s="3">
        <f t="shared" si="15"/>
        <v>0</v>
      </c>
      <c r="G13" s="3">
        <f t="shared" si="15"/>
        <v>0</v>
      </c>
      <c r="H13" s="3">
        <f t="shared" si="15"/>
        <v>0</v>
      </c>
      <c r="I13" s="3">
        <f t="shared" si="15"/>
        <v>0</v>
      </c>
      <c r="J13" s="3">
        <f t="shared" si="15"/>
        <v>0</v>
      </c>
      <c r="K13" s="3">
        <f t="shared" si="15"/>
        <v>0</v>
      </c>
      <c r="L13" s="3">
        <f t="shared" si="15"/>
        <v>0</v>
      </c>
      <c r="M13" s="3">
        <f t="shared" si="15"/>
        <v>0</v>
      </c>
      <c r="N13" s="3">
        <f>IF(N$24=8,N$23,0)</f>
        <v>0</v>
      </c>
      <c r="O13" s="3">
        <f>IF(O$24=8,O$23,0)</f>
        <v>0</v>
      </c>
      <c r="P13" s="3">
        <f>IF(P$24=8,P$23,0)</f>
        <v>0</v>
      </c>
      <c r="Q13" s="3">
        <v>0</v>
      </c>
      <c r="R13" s="3">
        <f>IF(R$24=8,R$23,0)</f>
        <v>0</v>
      </c>
      <c r="S13" s="3">
        <f>IF(S$24=8,S$23,0)</f>
        <v>0</v>
      </c>
      <c r="T13" s="3">
        <f>IF(T$24=8,T$23,0)</f>
        <v>0</v>
      </c>
      <c r="U13" s="3">
        <f t="shared" ref="U13:BB13" si="16">IF(U$24=8,U$23,0)</f>
        <v>0</v>
      </c>
      <c r="V13" s="3">
        <f t="shared" si="16"/>
        <v>0</v>
      </c>
      <c r="W13" s="3">
        <f t="shared" si="16"/>
        <v>0</v>
      </c>
      <c r="X13" s="3">
        <f t="shared" si="16"/>
        <v>0</v>
      </c>
      <c r="Y13" s="3">
        <f t="shared" si="16"/>
        <v>0</v>
      </c>
      <c r="Z13" s="3">
        <f t="shared" si="16"/>
        <v>0</v>
      </c>
      <c r="AA13" s="3">
        <f t="shared" si="16"/>
        <v>0</v>
      </c>
      <c r="AB13" s="3">
        <f t="shared" si="16"/>
        <v>0</v>
      </c>
      <c r="AC13" s="3">
        <f t="shared" si="16"/>
        <v>0</v>
      </c>
      <c r="AD13" s="3">
        <f t="shared" si="16"/>
        <v>0</v>
      </c>
      <c r="AE13" s="3">
        <f t="shared" si="16"/>
        <v>0</v>
      </c>
      <c r="AF13" s="3">
        <f t="shared" si="16"/>
        <v>0</v>
      </c>
      <c r="AG13" s="3">
        <f t="shared" si="16"/>
        <v>0</v>
      </c>
      <c r="AH13" s="3">
        <f t="shared" si="16"/>
        <v>0</v>
      </c>
      <c r="AI13" s="3">
        <f t="shared" si="16"/>
        <v>0</v>
      </c>
      <c r="AJ13" s="3">
        <f t="shared" si="16"/>
        <v>0</v>
      </c>
      <c r="AK13" s="3">
        <f t="shared" si="16"/>
        <v>0</v>
      </c>
      <c r="AL13" s="3">
        <f t="shared" si="16"/>
        <v>0</v>
      </c>
      <c r="AM13" s="3">
        <f t="shared" si="16"/>
        <v>0</v>
      </c>
      <c r="AN13" s="3">
        <f t="shared" si="16"/>
        <v>0</v>
      </c>
      <c r="AO13" s="3">
        <f t="shared" si="16"/>
        <v>0</v>
      </c>
      <c r="AP13" s="3">
        <f t="shared" si="16"/>
        <v>0</v>
      </c>
      <c r="AQ13" s="3">
        <f t="shared" si="16"/>
        <v>0</v>
      </c>
      <c r="AR13" s="3">
        <f t="shared" si="16"/>
        <v>0</v>
      </c>
      <c r="AS13" s="3">
        <f t="shared" si="16"/>
        <v>0</v>
      </c>
      <c r="AT13" s="3">
        <f t="shared" si="16"/>
        <v>0</v>
      </c>
      <c r="AU13" s="3">
        <f t="shared" si="16"/>
        <v>0</v>
      </c>
      <c r="AV13" s="3">
        <f t="shared" si="16"/>
        <v>0</v>
      </c>
      <c r="AW13" s="3">
        <f t="shared" si="16"/>
        <v>0</v>
      </c>
      <c r="AX13" s="3">
        <f t="shared" si="16"/>
        <v>0</v>
      </c>
      <c r="AY13" s="3">
        <f t="shared" si="16"/>
        <v>0</v>
      </c>
      <c r="AZ13" s="3">
        <f t="shared" si="16"/>
        <v>0</v>
      </c>
      <c r="BA13" s="3">
        <f t="shared" si="16"/>
        <v>0</v>
      </c>
      <c r="BB13" s="3">
        <f t="shared" si="16"/>
        <v>0</v>
      </c>
      <c r="BC13" s="1">
        <f t="shared" si="2"/>
        <v>0</v>
      </c>
    </row>
    <row r="14" spans="1:55" ht="13.8" x14ac:dyDescent="0.3">
      <c r="D14" s="1" t="s">
        <v>9</v>
      </c>
      <c r="E14" s="3">
        <f t="shared" ref="E14:M14" si="17">IF(E$24=9,E$23,0)</f>
        <v>0</v>
      </c>
      <c r="F14" s="3">
        <f t="shared" si="17"/>
        <v>0</v>
      </c>
      <c r="G14" s="3">
        <f t="shared" si="17"/>
        <v>0</v>
      </c>
      <c r="H14" s="3">
        <f t="shared" si="17"/>
        <v>0</v>
      </c>
      <c r="I14" s="3">
        <f t="shared" si="17"/>
        <v>0</v>
      </c>
      <c r="J14" s="3">
        <f t="shared" si="17"/>
        <v>0</v>
      </c>
      <c r="K14" s="3">
        <f t="shared" si="17"/>
        <v>0</v>
      </c>
      <c r="L14" s="3">
        <f t="shared" si="17"/>
        <v>0</v>
      </c>
      <c r="M14" s="3">
        <f t="shared" si="17"/>
        <v>0</v>
      </c>
      <c r="N14" s="3">
        <f>IF(N$24=9,N$23,0)</f>
        <v>0</v>
      </c>
      <c r="O14" s="3">
        <f>IF(O$24=9,O$23,0)</f>
        <v>0</v>
      </c>
      <c r="P14" s="3">
        <f>IF(P$24=9,P$23,0)</f>
        <v>0</v>
      </c>
      <c r="Q14" s="3">
        <v>0</v>
      </c>
      <c r="R14" s="3">
        <f>IF(R$24=9,R$23,0)</f>
        <v>0</v>
      </c>
      <c r="S14" s="3">
        <f>IF(S$24=9,S$23,0)</f>
        <v>0</v>
      </c>
      <c r="T14" s="3">
        <f>IF(T$24=9,T$23,0)</f>
        <v>0</v>
      </c>
      <c r="U14" s="3">
        <f t="shared" ref="U14:BB14" si="18">IF(U$24=9,U$23,0)</f>
        <v>0</v>
      </c>
      <c r="V14" s="3">
        <f t="shared" si="18"/>
        <v>0</v>
      </c>
      <c r="W14" s="3">
        <f t="shared" si="18"/>
        <v>0</v>
      </c>
      <c r="X14" s="3">
        <f t="shared" si="18"/>
        <v>0</v>
      </c>
      <c r="Y14" s="3">
        <f t="shared" si="18"/>
        <v>0</v>
      </c>
      <c r="Z14" s="3">
        <f t="shared" si="18"/>
        <v>0</v>
      </c>
      <c r="AA14" s="3">
        <f t="shared" si="18"/>
        <v>0</v>
      </c>
      <c r="AB14" s="3">
        <f t="shared" si="18"/>
        <v>0</v>
      </c>
      <c r="AC14" s="3">
        <f t="shared" si="18"/>
        <v>0</v>
      </c>
      <c r="AD14" s="3">
        <f t="shared" si="18"/>
        <v>0</v>
      </c>
      <c r="AE14" s="3">
        <f t="shared" si="18"/>
        <v>0</v>
      </c>
      <c r="AF14" s="3">
        <f t="shared" si="18"/>
        <v>0</v>
      </c>
      <c r="AG14" s="3">
        <f t="shared" si="18"/>
        <v>0</v>
      </c>
      <c r="AH14" s="3">
        <f t="shared" si="18"/>
        <v>0</v>
      </c>
      <c r="AI14" s="3">
        <f t="shared" si="18"/>
        <v>0</v>
      </c>
      <c r="AJ14" s="3">
        <f t="shared" si="18"/>
        <v>0</v>
      </c>
      <c r="AK14" s="3">
        <f t="shared" si="18"/>
        <v>0</v>
      </c>
      <c r="AL14" s="3">
        <f t="shared" si="18"/>
        <v>0</v>
      </c>
      <c r="AM14" s="3">
        <f t="shared" si="18"/>
        <v>0</v>
      </c>
      <c r="AN14" s="3">
        <f t="shared" si="18"/>
        <v>0</v>
      </c>
      <c r="AO14" s="3">
        <f t="shared" si="18"/>
        <v>0</v>
      </c>
      <c r="AP14" s="3">
        <f t="shared" si="18"/>
        <v>0</v>
      </c>
      <c r="AQ14" s="3">
        <f t="shared" si="18"/>
        <v>0</v>
      </c>
      <c r="AR14" s="3">
        <f t="shared" si="18"/>
        <v>0</v>
      </c>
      <c r="AS14" s="3">
        <f t="shared" si="18"/>
        <v>0</v>
      </c>
      <c r="AT14" s="3">
        <f t="shared" si="18"/>
        <v>0</v>
      </c>
      <c r="AU14" s="3">
        <f t="shared" si="18"/>
        <v>0</v>
      </c>
      <c r="AV14" s="3">
        <f t="shared" si="18"/>
        <v>0</v>
      </c>
      <c r="AW14" s="3">
        <f t="shared" si="18"/>
        <v>0</v>
      </c>
      <c r="AX14" s="3">
        <f t="shared" si="18"/>
        <v>0</v>
      </c>
      <c r="AY14" s="3">
        <f t="shared" si="18"/>
        <v>0</v>
      </c>
      <c r="AZ14" s="3">
        <f t="shared" si="18"/>
        <v>0</v>
      </c>
      <c r="BA14" s="3">
        <f t="shared" si="18"/>
        <v>0</v>
      </c>
      <c r="BB14" s="3">
        <f t="shared" si="18"/>
        <v>0</v>
      </c>
      <c r="BC14" s="1">
        <f t="shared" si="2"/>
        <v>0</v>
      </c>
    </row>
    <row r="15" spans="1:55" ht="13.8" x14ac:dyDescent="0.3">
      <c r="D15" s="1" t="s">
        <v>10</v>
      </c>
      <c r="E15" s="3">
        <f t="shared" ref="E15:M15" si="19">IF(E$24=10,E$23,0)</f>
        <v>0</v>
      </c>
      <c r="F15" s="3">
        <f t="shared" si="19"/>
        <v>0</v>
      </c>
      <c r="G15" s="3">
        <f t="shared" si="19"/>
        <v>0</v>
      </c>
      <c r="H15" s="3">
        <f t="shared" si="19"/>
        <v>0</v>
      </c>
      <c r="I15" s="3">
        <f t="shared" si="19"/>
        <v>0</v>
      </c>
      <c r="J15" s="3">
        <f t="shared" si="19"/>
        <v>0</v>
      </c>
      <c r="K15" s="3">
        <f t="shared" si="19"/>
        <v>0</v>
      </c>
      <c r="L15" s="3">
        <f t="shared" si="19"/>
        <v>0</v>
      </c>
      <c r="M15" s="3">
        <f t="shared" si="19"/>
        <v>0</v>
      </c>
      <c r="N15" s="3">
        <f>IF(N$24=10,N$23,0)</f>
        <v>0</v>
      </c>
      <c r="O15" s="3">
        <f>IF(O$24=10,O$23,0)</f>
        <v>0</v>
      </c>
      <c r="P15" s="3">
        <f>IF(P$24=10,P$23,0)</f>
        <v>0</v>
      </c>
      <c r="Q15" s="3">
        <v>0</v>
      </c>
      <c r="R15" s="3">
        <f>IF(R$24=10,R$23,0)</f>
        <v>0</v>
      </c>
      <c r="S15" s="3">
        <f>IF(S$24=10,S$23,0)</f>
        <v>0</v>
      </c>
      <c r="T15" s="3">
        <f>IF(T$24=10,T$23,0)</f>
        <v>0</v>
      </c>
      <c r="U15" s="3">
        <f t="shared" ref="U15:BB15" si="20">IF(U$24=10,U$23,0)</f>
        <v>0</v>
      </c>
      <c r="V15" s="3">
        <f t="shared" si="20"/>
        <v>0</v>
      </c>
      <c r="W15" s="3">
        <f t="shared" si="20"/>
        <v>0</v>
      </c>
      <c r="X15" s="3">
        <f t="shared" si="20"/>
        <v>0</v>
      </c>
      <c r="Y15" s="3">
        <f t="shared" si="20"/>
        <v>0</v>
      </c>
      <c r="Z15" s="3">
        <f t="shared" si="20"/>
        <v>0</v>
      </c>
      <c r="AA15" s="3">
        <f t="shared" si="20"/>
        <v>0</v>
      </c>
      <c r="AB15" s="3">
        <f t="shared" si="20"/>
        <v>0</v>
      </c>
      <c r="AC15" s="3">
        <f t="shared" si="20"/>
        <v>0</v>
      </c>
      <c r="AD15" s="3">
        <f t="shared" si="20"/>
        <v>0</v>
      </c>
      <c r="AE15" s="3">
        <f t="shared" si="20"/>
        <v>0</v>
      </c>
      <c r="AF15" s="3">
        <f t="shared" si="20"/>
        <v>0</v>
      </c>
      <c r="AG15" s="3">
        <f t="shared" si="20"/>
        <v>0</v>
      </c>
      <c r="AH15" s="3">
        <f t="shared" si="20"/>
        <v>0</v>
      </c>
      <c r="AI15" s="3">
        <f t="shared" si="20"/>
        <v>0</v>
      </c>
      <c r="AJ15" s="3">
        <f t="shared" si="20"/>
        <v>0</v>
      </c>
      <c r="AK15" s="3">
        <f t="shared" si="20"/>
        <v>0</v>
      </c>
      <c r="AL15" s="3">
        <f t="shared" si="20"/>
        <v>0</v>
      </c>
      <c r="AM15" s="3">
        <f t="shared" si="20"/>
        <v>0</v>
      </c>
      <c r="AN15" s="3">
        <f t="shared" si="20"/>
        <v>0</v>
      </c>
      <c r="AO15" s="3">
        <f t="shared" si="20"/>
        <v>0</v>
      </c>
      <c r="AP15" s="3">
        <f t="shared" si="20"/>
        <v>0</v>
      </c>
      <c r="AQ15" s="3">
        <f t="shared" si="20"/>
        <v>0</v>
      </c>
      <c r="AR15" s="3">
        <f t="shared" si="20"/>
        <v>0</v>
      </c>
      <c r="AS15" s="3">
        <f t="shared" si="20"/>
        <v>0</v>
      </c>
      <c r="AT15" s="3">
        <f t="shared" si="20"/>
        <v>0</v>
      </c>
      <c r="AU15" s="3">
        <f t="shared" si="20"/>
        <v>0</v>
      </c>
      <c r="AV15" s="3">
        <f t="shared" si="20"/>
        <v>0</v>
      </c>
      <c r="AW15" s="3">
        <f t="shared" si="20"/>
        <v>0</v>
      </c>
      <c r="AX15" s="3">
        <f t="shared" si="20"/>
        <v>0</v>
      </c>
      <c r="AY15" s="3">
        <f t="shared" si="20"/>
        <v>0</v>
      </c>
      <c r="AZ15" s="3">
        <f t="shared" si="20"/>
        <v>0</v>
      </c>
      <c r="BA15" s="3">
        <f t="shared" si="20"/>
        <v>0</v>
      </c>
      <c r="BB15" s="3">
        <f t="shared" si="20"/>
        <v>0</v>
      </c>
      <c r="BC15" s="1">
        <f t="shared" si="2"/>
        <v>0</v>
      </c>
    </row>
    <row r="16" spans="1:55" ht="13.8" x14ac:dyDescent="0.3">
      <c r="D16" s="1" t="s">
        <v>11</v>
      </c>
      <c r="E16" s="3">
        <f t="shared" ref="E16:M16" si="21">IF(E$24=11,E$23,0)</f>
        <v>0</v>
      </c>
      <c r="F16" s="3">
        <f t="shared" si="21"/>
        <v>0</v>
      </c>
      <c r="G16" s="3">
        <f t="shared" si="21"/>
        <v>0</v>
      </c>
      <c r="H16" s="3">
        <f t="shared" si="21"/>
        <v>0</v>
      </c>
      <c r="I16" s="3">
        <f t="shared" si="21"/>
        <v>0</v>
      </c>
      <c r="J16" s="3">
        <f t="shared" si="21"/>
        <v>0</v>
      </c>
      <c r="K16" s="3">
        <f t="shared" si="21"/>
        <v>0</v>
      </c>
      <c r="L16" s="3">
        <f t="shared" si="21"/>
        <v>0</v>
      </c>
      <c r="M16" s="3">
        <f t="shared" si="21"/>
        <v>0</v>
      </c>
      <c r="N16" s="3">
        <f>IF(N$24=11,N$23,0)</f>
        <v>0</v>
      </c>
      <c r="O16" s="3">
        <f>IF(O$24=11,O$23,0)</f>
        <v>0</v>
      </c>
      <c r="P16" s="3">
        <f>IF(P$24=11,P$23,0)</f>
        <v>0</v>
      </c>
      <c r="Q16" s="3">
        <v>0</v>
      </c>
      <c r="R16" s="3">
        <f>IF(R$24=11,R$23,0)</f>
        <v>0</v>
      </c>
      <c r="S16" s="3">
        <f>IF(S$24=11,S$23,0)</f>
        <v>0</v>
      </c>
      <c r="T16" s="3">
        <f>IF(T$24=11,T$23,0)</f>
        <v>0</v>
      </c>
      <c r="U16" s="3">
        <f t="shared" ref="U16:BB16" si="22">IF(U$24=11,U$23,0)</f>
        <v>0</v>
      </c>
      <c r="V16" s="3">
        <f t="shared" si="22"/>
        <v>0</v>
      </c>
      <c r="W16" s="3">
        <f t="shared" si="22"/>
        <v>0</v>
      </c>
      <c r="X16" s="3">
        <f t="shared" si="22"/>
        <v>0</v>
      </c>
      <c r="Y16" s="3">
        <f t="shared" si="22"/>
        <v>0</v>
      </c>
      <c r="Z16" s="3">
        <f t="shared" si="22"/>
        <v>0</v>
      </c>
      <c r="AA16" s="3">
        <f t="shared" si="22"/>
        <v>0</v>
      </c>
      <c r="AB16" s="3">
        <f t="shared" si="22"/>
        <v>0</v>
      </c>
      <c r="AC16" s="3">
        <f t="shared" si="22"/>
        <v>0</v>
      </c>
      <c r="AD16" s="3">
        <f t="shared" si="22"/>
        <v>0</v>
      </c>
      <c r="AE16" s="3">
        <f t="shared" si="22"/>
        <v>0</v>
      </c>
      <c r="AF16" s="3">
        <f t="shared" si="22"/>
        <v>0</v>
      </c>
      <c r="AG16" s="3">
        <f t="shared" si="22"/>
        <v>0</v>
      </c>
      <c r="AH16" s="3">
        <f t="shared" si="22"/>
        <v>0</v>
      </c>
      <c r="AI16" s="3">
        <f t="shared" si="22"/>
        <v>0</v>
      </c>
      <c r="AJ16" s="3">
        <f t="shared" si="22"/>
        <v>0</v>
      </c>
      <c r="AK16" s="3">
        <f t="shared" si="22"/>
        <v>0</v>
      </c>
      <c r="AL16" s="3">
        <f t="shared" si="22"/>
        <v>0</v>
      </c>
      <c r="AM16" s="3">
        <f t="shared" si="22"/>
        <v>0</v>
      </c>
      <c r="AN16" s="3">
        <f t="shared" si="22"/>
        <v>0</v>
      </c>
      <c r="AO16" s="3">
        <f t="shared" si="22"/>
        <v>0</v>
      </c>
      <c r="AP16" s="3">
        <f t="shared" si="22"/>
        <v>0</v>
      </c>
      <c r="AQ16" s="3">
        <f t="shared" si="22"/>
        <v>0</v>
      </c>
      <c r="AR16" s="3">
        <f t="shared" si="22"/>
        <v>0</v>
      </c>
      <c r="AS16" s="3">
        <f t="shared" si="22"/>
        <v>0</v>
      </c>
      <c r="AT16" s="3">
        <f t="shared" si="22"/>
        <v>0</v>
      </c>
      <c r="AU16" s="3">
        <f t="shared" si="22"/>
        <v>0</v>
      </c>
      <c r="AV16" s="3">
        <f t="shared" si="22"/>
        <v>0</v>
      </c>
      <c r="AW16" s="3">
        <f t="shared" si="22"/>
        <v>0</v>
      </c>
      <c r="AX16" s="3">
        <f t="shared" si="22"/>
        <v>0</v>
      </c>
      <c r="AY16" s="3">
        <f t="shared" si="22"/>
        <v>0</v>
      </c>
      <c r="AZ16" s="3">
        <f t="shared" si="22"/>
        <v>0</v>
      </c>
      <c r="BA16" s="3">
        <f t="shared" si="22"/>
        <v>0</v>
      </c>
      <c r="BB16" s="3">
        <f t="shared" si="22"/>
        <v>0</v>
      </c>
      <c r="BC16" s="1">
        <f t="shared" si="2"/>
        <v>0</v>
      </c>
    </row>
    <row r="17" spans="1:56" ht="13.8" x14ac:dyDescent="0.3">
      <c r="D17" s="1" t="s">
        <v>12</v>
      </c>
      <c r="E17" s="3">
        <f t="shared" ref="E17:M17" si="23">IF(E$24=12,E$23,0)</f>
        <v>0</v>
      </c>
      <c r="F17" s="3">
        <f t="shared" si="23"/>
        <v>0</v>
      </c>
      <c r="G17" s="3">
        <f t="shared" si="23"/>
        <v>0</v>
      </c>
      <c r="H17" s="3">
        <f t="shared" si="23"/>
        <v>0</v>
      </c>
      <c r="I17" s="3">
        <f t="shared" si="23"/>
        <v>0</v>
      </c>
      <c r="J17" s="3">
        <f t="shared" si="23"/>
        <v>0</v>
      </c>
      <c r="K17" s="3">
        <f t="shared" si="23"/>
        <v>0</v>
      </c>
      <c r="L17" s="3">
        <f t="shared" si="23"/>
        <v>0</v>
      </c>
      <c r="M17" s="3">
        <f t="shared" si="23"/>
        <v>0</v>
      </c>
      <c r="N17" s="3">
        <f>IF(N$24=12,N$23,0)</f>
        <v>0</v>
      </c>
      <c r="O17" s="3">
        <f>IF(O$24=12,O$23,0)</f>
        <v>0</v>
      </c>
      <c r="P17" s="3">
        <f>IF(P$24=12,P$23,0)</f>
        <v>0</v>
      </c>
      <c r="Q17" s="3">
        <v>0</v>
      </c>
      <c r="R17" s="3">
        <f>IF(R$24=12,R$23,0)</f>
        <v>0</v>
      </c>
      <c r="S17" s="3">
        <f>IF(S$24=12,S$23,0)</f>
        <v>0</v>
      </c>
      <c r="T17" s="3">
        <f>IF(T$24=12,T$23,0)</f>
        <v>0</v>
      </c>
      <c r="U17" s="3">
        <f t="shared" ref="U17:BB17" si="24">IF(U$24=12,U$23,0)</f>
        <v>0</v>
      </c>
      <c r="V17" s="3">
        <f t="shared" si="24"/>
        <v>0</v>
      </c>
      <c r="W17" s="3">
        <f t="shared" si="24"/>
        <v>0</v>
      </c>
      <c r="X17" s="3">
        <f t="shared" si="24"/>
        <v>0</v>
      </c>
      <c r="Y17" s="3">
        <f t="shared" si="24"/>
        <v>0</v>
      </c>
      <c r="Z17" s="3">
        <f t="shared" si="24"/>
        <v>0</v>
      </c>
      <c r="AA17" s="3">
        <f t="shared" si="24"/>
        <v>0</v>
      </c>
      <c r="AB17" s="3">
        <f t="shared" si="24"/>
        <v>0</v>
      </c>
      <c r="AC17" s="3">
        <f t="shared" si="24"/>
        <v>0</v>
      </c>
      <c r="AD17" s="3">
        <f t="shared" si="24"/>
        <v>0</v>
      </c>
      <c r="AE17" s="3">
        <f t="shared" si="24"/>
        <v>0</v>
      </c>
      <c r="AF17" s="3">
        <f t="shared" si="24"/>
        <v>0</v>
      </c>
      <c r="AG17" s="3">
        <f t="shared" si="24"/>
        <v>0</v>
      </c>
      <c r="AH17" s="3">
        <f t="shared" si="24"/>
        <v>0</v>
      </c>
      <c r="AI17" s="3">
        <f t="shared" si="24"/>
        <v>0</v>
      </c>
      <c r="AJ17" s="3">
        <f t="shared" si="24"/>
        <v>0</v>
      </c>
      <c r="AK17" s="3">
        <f t="shared" si="24"/>
        <v>0</v>
      </c>
      <c r="AL17" s="3">
        <f t="shared" si="24"/>
        <v>0</v>
      </c>
      <c r="AM17" s="3">
        <f t="shared" si="24"/>
        <v>0</v>
      </c>
      <c r="AN17" s="3">
        <f t="shared" si="24"/>
        <v>0</v>
      </c>
      <c r="AO17" s="3">
        <f t="shared" si="24"/>
        <v>0</v>
      </c>
      <c r="AP17" s="3">
        <f t="shared" si="24"/>
        <v>0</v>
      </c>
      <c r="AQ17" s="3">
        <f t="shared" si="24"/>
        <v>0</v>
      </c>
      <c r="AR17" s="3">
        <f t="shared" si="24"/>
        <v>0</v>
      </c>
      <c r="AS17" s="3">
        <f t="shared" si="24"/>
        <v>0</v>
      </c>
      <c r="AT17" s="3">
        <f t="shared" si="24"/>
        <v>0</v>
      </c>
      <c r="AU17" s="3">
        <f t="shared" si="24"/>
        <v>0</v>
      </c>
      <c r="AV17" s="3">
        <f t="shared" si="24"/>
        <v>0</v>
      </c>
      <c r="AW17" s="3">
        <f t="shared" si="24"/>
        <v>0</v>
      </c>
      <c r="AX17" s="3">
        <f t="shared" si="24"/>
        <v>0</v>
      </c>
      <c r="AY17" s="3">
        <f t="shared" si="24"/>
        <v>0</v>
      </c>
      <c r="AZ17" s="3">
        <f t="shared" si="24"/>
        <v>0</v>
      </c>
      <c r="BA17" s="3">
        <f t="shared" si="24"/>
        <v>0</v>
      </c>
      <c r="BB17" s="3">
        <f t="shared" si="24"/>
        <v>0</v>
      </c>
      <c r="BC17" s="1">
        <f t="shared" si="2"/>
        <v>0</v>
      </c>
    </row>
    <row r="18" spans="1:56" ht="13.8" x14ac:dyDescent="0.3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20" spans="1:56" ht="13.8" x14ac:dyDescent="0.3">
      <c r="D20" s="2" t="s">
        <v>14</v>
      </c>
      <c r="E20" s="4" t="s">
        <v>15</v>
      </c>
      <c r="F20" s="53"/>
      <c r="G20" s="54"/>
      <c r="H20" s="54"/>
      <c r="I20" s="54"/>
      <c r="J20" s="54"/>
      <c r="K20" s="55"/>
      <c r="L20" s="5"/>
      <c r="M20" s="6"/>
      <c r="N20" s="7"/>
      <c r="O20" s="8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6"/>
      <c r="AB20" s="54"/>
      <c r="AC20" s="54"/>
      <c r="AD20" s="55"/>
      <c r="AE20" s="56"/>
      <c r="AF20" s="54"/>
      <c r="AG20" s="54"/>
      <c r="AH20" s="55"/>
      <c r="AI20" s="10"/>
      <c r="AJ20" s="10"/>
      <c r="AK20" s="10"/>
      <c r="AL20" s="10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</row>
    <row r="21" spans="1:56" ht="12.75" customHeight="1" x14ac:dyDescent="0.3">
      <c r="D21" s="2" t="s">
        <v>16</v>
      </c>
      <c r="E21" s="50" t="s">
        <v>29</v>
      </c>
      <c r="F21" s="51"/>
      <c r="G21" s="51"/>
      <c r="H21" s="51"/>
      <c r="I21" s="51"/>
      <c r="J21" s="52"/>
      <c r="K21" s="47" t="s">
        <v>36</v>
      </c>
      <c r="L21" s="48"/>
      <c r="M21" s="49"/>
      <c r="N21" s="47" t="s">
        <v>37</v>
      </c>
      <c r="O21" s="48"/>
      <c r="P21" s="48"/>
      <c r="Q21" s="48"/>
      <c r="R21" s="48"/>
      <c r="S21" s="49"/>
      <c r="T21" s="28"/>
      <c r="U21" s="28"/>
      <c r="V21" s="28"/>
      <c r="W21" s="28"/>
      <c r="X21" s="31"/>
      <c r="Y21" s="31"/>
      <c r="Z21" s="31"/>
      <c r="AA21" s="32"/>
      <c r="AB21" s="31"/>
      <c r="AC21" s="31"/>
      <c r="AD21" s="31"/>
      <c r="AE21" s="33"/>
      <c r="AF21" s="33"/>
      <c r="AG21" s="33"/>
      <c r="AH21" s="33"/>
      <c r="AI21" s="31"/>
      <c r="AJ21" s="31"/>
      <c r="AK21" s="34"/>
      <c r="AL21" s="34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</row>
    <row r="22" spans="1:56" ht="15.75" customHeight="1" x14ac:dyDescent="0.3">
      <c r="D22" s="2"/>
      <c r="E22" s="28" t="s">
        <v>30</v>
      </c>
      <c r="F22" s="27" t="s">
        <v>31</v>
      </c>
      <c r="G22" s="27" t="s">
        <v>32</v>
      </c>
      <c r="H22" s="28" t="s">
        <v>33</v>
      </c>
      <c r="I22" s="36" t="s">
        <v>17</v>
      </c>
      <c r="J22" s="36" t="s">
        <v>81</v>
      </c>
      <c r="K22" s="37" t="s">
        <v>18</v>
      </c>
      <c r="L22" s="37" t="s">
        <v>19</v>
      </c>
      <c r="M22" s="38" t="s">
        <v>20</v>
      </c>
      <c r="N22" s="38" t="s">
        <v>18</v>
      </c>
      <c r="O22" s="38" t="s">
        <v>19</v>
      </c>
      <c r="P22" s="38" t="s">
        <v>20</v>
      </c>
      <c r="Q22" s="38" t="s">
        <v>34</v>
      </c>
      <c r="R22" s="38" t="s">
        <v>35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9"/>
      <c r="BD22" s="40"/>
    </row>
    <row r="23" spans="1:56" ht="15.75" customHeight="1" x14ac:dyDescent="0.3">
      <c r="D23" s="2" t="s">
        <v>21</v>
      </c>
      <c r="E23" s="37">
        <v>10</v>
      </c>
      <c r="F23" s="37">
        <v>10</v>
      </c>
      <c r="G23" s="37">
        <v>10</v>
      </c>
      <c r="H23" s="37">
        <v>10</v>
      </c>
      <c r="I23" s="37">
        <v>10</v>
      </c>
      <c r="J23" s="37">
        <v>10</v>
      </c>
      <c r="K23" s="37">
        <v>30</v>
      </c>
      <c r="L23" s="37">
        <v>30</v>
      </c>
      <c r="M23" s="37">
        <v>30</v>
      </c>
      <c r="N23" s="37">
        <v>30</v>
      </c>
      <c r="O23" s="37">
        <v>30</v>
      </c>
      <c r="P23" s="37">
        <v>30</v>
      </c>
      <c r="Q23" s="37">
        <v>30</v>
      </c>
      <c r="R23" s="37">
        <v>30</v>
      </c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9">
        <f>SUM(E23:BB23)</f>
        <v>300</v>
      </c>
      <c r="BD23" s="40" t="s">
        <v>22</v>
      </c>
    </row>
    <row r="24" spans="1:56" ht="15.75" customHeight="1" x14ac:dyDescent="0.3">
      <c r="D24" s="2" t="s">
        <v>23</v>
      </c>
      <c r="E24" s="37">
        <v>1</v>
      </c>
      <c r="F24" s="37">
        <v>2</v>
      </c>
      <c r="G24" s="37">
        <v>3</v>
      </c>
      <c r="H24" s="37">
        <v>3</v>
      </c>
      <c r="I24" s="37"/>
      <c r="J24" s="11"/>
      <c r="K24" s="11">
        <v>1</v>
      </c>
      <c r="L24" s="11">
        <v>2</v>
      </c>
      <c r="M24" s="11">
        <v>3</v>
      </c>
      <c r="N24" s="37">
        <v>2</v>
      </c>
      <c r="O24" s="37">
        <v>3</v>
      </c>
      <c r="P24" s="37">
        <v>3</v>
      </c>
      <c r="Q24" s="37">
        <v>3</v>
      </c>
      <c r="R24" s="37">
        <v>4</v>
      </c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9"/>
    </row>
    <row r="25" spans="1:56" ht="15.75" customHeight="1" x14ac:dyDescent="0.3"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6" ht="15.75" customHeight="1" x14ac:dyDescent="0.3">
      <c r="A26" s="13"/>
      <c r="B26" s="44" t="s">
        <v>24</v>
      </c>
      <c r="C26" s="45"/>
      <c r="D26" s="1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3"/>
    </row>
    <row r="27" spans="1:56" ht="15.75" customHeight="1" x14ac:dyDescent="0.3">
      <c r="A27" s="13"/>
      <c r="B27" s="19" t="s">
        <v>25</v>
      </c>
      <c r="C27" s="23" t="s">
        <v>26</v>
      </c>
      <c r="D27" s="1" t="s">
        <v>27</v>
      </c>
      <c r="E27" s="1">
        <v>1</v>
      </c>
      <c r="F27" s="1">
        <v>2</v>
      </c>
      <c r="G27" s="1">
        <v>3</v>
      </c>
      <c r="H27" s="1">
        <v>4</v>
      </c>
      <c r="I27" s="1">
        <v>5</v>
      </c>
      <c r="J27" s="1">
        <v>6</v>
      </c>
      <c r="K27" s="1">
        <v>7</v>
      </c>
      <c r="L27" s="1">
        <v>8</v>
      </c>
      <c r="M27" s="1">
        <v>9</v>
      </c>
      <c r="N27" s="1">
        <v>10</v>
      </c>
      <c r="O27" s="1">
        <v>11</v>
      </c>
      <c r="P27" s="1">
        <v>12</v>
      </c>
      <c r="Q27" s="1">
        <v>13</v>
      </c>
      <c r="R27" s="1">
        <v>14</v>
      </c>
      <c r="S27" s="1">
        <v>15</v>
      </c>
      <c r="T27" s="1">
        <v>16</v>
      </c>
      <c r="U27" s="1">
        <v>17</v>
      </c>
      <c r="V27" s="1">
        <v>18</v>
      </c>
      <c r="W27" s="1">
        <v>19</v>
      </c>
      <c r="X27" s="1">
        <v>20</v>
      </c>
      <c r="Y27" s="1">
        <v>21</v>
      </c>
      <c r="Z27" s="1">
        <v>22</v>
      </c>
      <c r="AA27" s="1">
        <v>23</v>
      </c>
      <c r="AB27" s="1">
        <v>24</v>
      </c>
      <c r="AC27" s="1">
        <v>25</v>
      </c>
      <c r="AD27" s="1">
        <v>26</v>
      </c>
      <c r="AE27" s="1">
        <v>27</v>
      </c>
      <c r="AF27" s="1">
        <v>28</v>
      </c>
      <c r="AG27" s="1">
        <v>29</v>
      </c>
      <c r="AH27" s="1">
        <v>30</v>
      </c>
      <c r="AI27" s="1">
        <v>31</v>
      </c>
      <c r="AJ27" s="1">
        <v>32</v>
      </c>
      <c r="AK27" s="1">
        <v>33</v>
      </c>
      <c r="AL27" s="1">
        <v>34</v>
      </c>
      <c r="AM27" s="1">
        <v>35</v>
      </c>
      <c r="AN27" s="1">
        <v>36</v>
      </c>
      <c r="AO27" s="1">
        <v>37</v>
      </c>
      <c r="AP27" s="1">
        <v>38</v>
      </c>
      <c r="AQ27" s="1">
        <v>39</v>
      </c>
      <c r="AR27" s="1">
        <v>40</v>
      </c>
      <c r="AS27" s="1">
        <v>41</v>
      </c>
      <c r="AT27" s="1">
        <v>42</v>
      </c>
      <c r="AU27" s="1">
        <v>43</v>
      </c>
      <c r="AV27" s="1">
        <v>44</v>
      </c>
      <c r="AW27" s="1">
        <v>45</v>
      </c>
      <c r="AX27" s="1">
        <v>46</v>
      </c>
      <c r="AY27" s="1">
        <v>47</v>
      </c>
      <c r="AZ27" s="1">
        <v>48</v>
      </c>
      <c r="BA27" s="1">
        <v>49</v>
      </c>
      <c r="BB27" s="1">
        <v>50</v>
      </c>
      <c r="BC27" s="13"/>
    </row>
    <row r="28" spans="1:56" ht="15.75" customHeight="1" x14ac:dyDescent="0.3">
      <c r="A28" s="1">
        <v>1</v>
      </c>
      <c r="B28" s="29">
        <v>822220205101021</v>
      </c>
      <c r="C28" s="30" t="s">
        <v>38</v>
      </c>
      <c r="D28" s="13"/>
      <c r="E28" s="41">
        <v>2</v>
      </c>
      <c r="F28" s="41">
        <v>6</v>
      </c>
      <c r="G28" s="41">
        <v>6</v>
      </c>
      <c r="H28" s="41">
        <v>10</v>
      </c>
      <c r="I28" s="41">
        <v>10</v>
      </c>
      <c r="J28" s="41">
        <v>10</v>
      </c>
      <c r="K28" s="41">
        <v>12</v>
      </c>
      <c r="L28" s="41">
        <v>15</v>
      </c>
      <c r="M28" s="41">
        <v>10</v>
      </c>
      <c r="N28" s="41">
        <v>10</v>
      </c>
      <c r="O28" s="41">
        <v>16</v>
      </c>
      <c r="P28" s="41">
        <v>14</v>
      </c>
      <c r="Q28" s="41">
        <v>12</v>
      </c>
      <c r="R28" s="41">
        <v>10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5"/>
      <c r="AU28" s="15"/>
      <c r="AV28" s="15"/>
      <c r="AW28" s="15"/>
      <c r="AX28" s="15"/>
      <c r="AY28" s="15"/>
      <c r="AZ28" s="15"/>
      <c r="BA28" s="15"/>
      <c r="BB28" s="15"/>
      <c r="BC28" s="16">
        <f t="shared" ref="BC28:BC282" si="25">SUM(E28:K28)</f>
        <v>56</v>
      </c>
      <c r="BD28" s="12" t="str">
        <f t="shared" ref="BD28:BD89" si="26">IF(BC28&gt;=80,"A+",IF(BC28&gt;=75,"A",IF(BC28&gt;=70,"A-",IF(BC28&gt;=65,"B+",IF(BC28&gt;=60,"B",IF(BC28&gt;=55,"B-",IF(BC28&gt;=50,"C+",IF(BC28&gt;=45,"C",IF(BC28&gt;=40,"D","F")))))))))</f>
        <v>B-</v>
      </c>
    </row>
    <row r="29" spans="1:56" ht="15.75" customHeight="1" x14ac:dyDescent="0.3">
      <c r="A29" s="1">
        <v>2</v>
      </c>
      <c r="B29" s="29">
        <v>822310105101002</v>
      </c>
      <c r="C29" s="30" t="s">
        <v>39</v>
      </c>
      <c r="D29" s="13"/>
      <c r="E29" s="41">
        <v>7</v>
      </c>
      <c r="F29" s="41">
        <v>10</v>
      </c>
      <c r="G29" s="41">
        <v>8</v>
      </c>
      <c r="H29" s="41">
        <v>10</v>
      </c>
      <c r="I29" s="41">
        <v>10</v>
      </c>
      <c r="J29" s="41">
        <v>10</v>
      </c>
      <c r="K29" s="41">
        <v>20</v>
      </c>
      <c r="L29" s="41">
        <v>28</v>
      </c>
      <c r="M29" s="41">
        <v>5</v>
      </c>
      <c r="N29" s="41">
        <v>24</v>
      </c>
      <c r="O29" s="41">
        <v>20</v>
      </c>
      <c r="P29" s="41">
        <v>24</v>
      </c>
      <c r="Q29" s="41">
        <v>23</v>
      </c>
      <c r="R29" s="41">
        <v>24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5"/>
      <c r="AU29" s="15"/>
      <c r="AV29" s="15"/>
      <c r="AW29" s="15"/>
      <c r="AX29" s="15"/>
      <c r="AY29" s="15"/>
      <c r="AZ29" s="15"/>
      <c r="BA29" s="15"/>
      <c r="BB29" s="15"/>
      <c r="BC29" s="16">
        <f t="shared" si="25"/>
        <v>75</v>
      </c>
      <c r="BD29" s="12" t="str">
        <f t="shared" si="26"/>
        <v>A</v>
      </c>
    </row>
    <row r="30" spans="1:56" s="26" customFormat="1" ht="15.75" customHeight="1" x14ac:dyDescent="0.3">
      <c r="A30" s="1">
        <v>3</v>
      </c>
      <c r="B30" s="29">
        <v>822310105101009</v>
      </c>
      <c r="C30" s="30" t="s">
        <v>40</v>
      </c>
      <c r="D30" s="25"/>
      <c r="E30" s="41">
        <v>3</v>
      </c>
      <c r="F30" s="41">
        <v>7</v>
      </c>
      <c r="G30" s="41">
        <v>2</v>
      </c>
      <c r="H30" s="41">
        <v>8</v>
      </c>
      <c r="I30" s="41">
        <v>10</v>
      </c>
      <c r="J30" s="41">
        <v>10</v>
      </c>
      <c r="K30" s="41">
        <v>8</v>
      </c>
      <c r="L30" s="41">
        <v>24</v>
      </c>
      <c r="M30" s="41">
        <v>0</v>
      </c>
      <c r="N30" s="41">
        <v>11</v>
      </c>
      <c r="O30" s="41">
        <v>30</v>
      </c>
      <c r="P30" s="41">
        <v>0</v>
      </c>
      <c r="Q30" s="41">
        <v>9</v>
      </c>
      <c r="R30" s="41">
        <v>19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5"/>
      <c r="AU30" s="15"/>
      <c r="AV30" s="15"/>
      <c r="AW30" s="15"/>
      <c r="AX30" s="15"/>
      <c r="AY30" s="15"/>
      <c r="AZ30" s="15"/>
      <c r="BA30" s="15"/>
      <c r="BB30" s="15"/>
      <c r="BC30" s="16">
        <f t="shared" si="25"/>
        <v>48</v>
      </c>
      <c r="BD30" s="18" t="str">
        <f t="shared" si="26"/>
        <v>C</v>
      </c>
    </row>
    <row r="31" spans="1:56" ht="15.75" customHeight="1" x14ac:dyDescent="0.3">
      <c r="A31" s="1">
        <v>4</v>
      </c>
      <c r="B31" s="29">
        <v>822310105101015</v>
      </c>
      <c r="C31" s="30" t="s">
        <v>41</v>
      </c>
      <c r="D31" s="13"/>
      <c r="E31" s="41" t="s">
        <v>82</v>
      </c>
      <c r="F31" s="41">
        <v>5</v>
      </c>
      <c r="G31" s="41">
        <v>2</v>
      </c>
      <c r="H31" s="41">
        <v>10</v>
      </c>
      <c r="I31" s="41">
        <v>10</v>
      </c>
      <c r="J31" s="41">
        <v>10</v>
      </c>
      <c r="K31" s="41">
        <v>10</v>
      </c>
      <c r="L31" s="41">
        <v>20</v>
      </c>
      <c r="M31" s="41">
        <v>12</v>
      </c>
      <c r="N31" s="41">
        <v>17</v>
      </c>
      <c r="O31" s="41">
        <v>27</v>
      </c>
      <c r="P31" s="41">
        <v>11</v>
      </c>
      <c r="Q31" s="41">
        <v>15</v>
      </c>
      <c r="R31" s="41">
        <v>8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5"/>
      <c r="AU31" s="15"/>
      <c r="AV31" s="15"/>
      <c r="AW31" s="15"/>
      <c r="AX31" s="15"/>
      <c r="AY31" s="15"/>
      <c r="AZ31" s="15"/>
      <c r="BA31" s="15"/>
      <c r="BB31" s="15"/>
      <c r="BC31" s="16">
        <f t="shared" si="25"/>
        <v>47</v>
      </c>
      <c r="BD31" s="12" t="str">
        <f t="shared" si="26"/>
        <v>C</v>
      </c>
    </row>
    <row r="32" spans="1:56" ht="15.75" customHeight="1" x14ac:dyDescent="0.3">
      <c r="A32" s="1">
        <v>5</v>
      </c>
      <c r="B32" s="29">
        <v>822310205101047</v>
      </c>
      <c r="C32" s="30" t="s">
        <v>42</v>
      </c>
      <c r="D32" s="13"/>
      <c r="E32" s="41">
        <v>3</v>
      </c>
      <c r="F32" s="41">
        <v>7</v>
      </c>
      <c r="G32" s="41">
        <v>9</v>
      </c>
      <c r="H32" s="41">
        <v>9</v>
      </c>
      <c r="I32" s="41">
        <v>10</v>
      </c>
      <c r="J32" s="41">
        <v>10</v>
      </c>
      <c r="K32" s="41">
        <v>7</v>
      </c>
      <c r="L32" s="41">
        <v>22</v>
      </c>
      <c r="M32" s="41">
        <v>5</v>
      </c>
      <c r="N32" s="41">
        <v>4</v>
      </c>
      <c r="O32" s="41">
        <v>25</v>
      </c>
      <c r="P32" s="41">
        <v>14</v>
      </c>
      <c r="Q32" s="41">
        <v>10</v>
      </c>
      <c r="R32" s="41">
        <v>20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5"/>
      <c r="AU32" s="15"/>
      <c r="AV32" s="15"/>
      <c r="AW32" s="15"/>
      <c r="AX32" s="15"/>
      <c r="AY32" s="15"/>
      <c r="AZ32" s="15"/>
      <c r="BA32" s="15"/>
      <c r="BB32" s="15"/>
      <c r="BC32" s="16">
        <f t="shared" si="25"/>
        <v>55</v>
      </c>
      <c r="BD32" s="12" t="str">
        <f t="shared" si="26"/>
        <v>B-</v>
      </c>
    </row>
    <row r="33" spans="1:56" ht="15.75" customHeight="1" x14ac:dyDescent="0.3">
      <c r="A33" s="1">
        <v>6</v>
      </c>
      <c r="B33" s="29">
        <v>822310205101050</v>
      </c>
      <c r="C33" s="30" t="s">
        <v>43</v>
      </c>
      <c r="D33" s="13"/>
      <c r="E33" s="41">
        <v>2</v>
      </c>
      <c r="F33" s="41">
        <v>5</v>
      </c>
      <c r="G33" s="41">
        <v>6</v>
      </c>
      <c r="H33" s="41">
        <v>10</v>
      </c>
      <c r="I33" s="41">
        <v>10</v>
      </c>
      <c r="J33" s="41">
        <v>10</v>
      </c>
      <c r="K33" s="41">
        <v>21</v>
      </c>
      <c r="L33" s="41">
        <v>16</v>
      </c>
      <c r="M33" s="41">
        <v>5</v>
      </c>
      <c r="N33" s="41">
        <v>0</v>
      </c>
      <c r="O33" s="41">
        <v>26</v>
      </c>
      <c r="P33" s="41">
        <v>8</v>
      </c>
      <c r="Q33" s="41">
        <v>13</v>
      </c>
      <c r="R33" s="41">
        <v>10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5"/>
      <c r="AU33" s="15"/>
      <c r="AV33" s="15"/>
      <c r="AW33" s="15"/>
      <c r="AX33" s="15"/>
      <c r="AY33" s="15"/>
      <c r="AZ33" s="15"/>
      <c r="BA33" s="15"/>
      <c r="BB33" s="15"/>
      <c r="BC33" s="16">
        <f t="shared" si="25"/>
        <v>64</v>
      </c>
      <c r="BD33" s="12" t="str">
        <f t="shared" si="26"/>
        <v>B</v>
      </c>
    </row>
    <row r="34" spans="1:56" ht="15.75" customHeight="1" x14ac:dyDescent="0.3">
      <c r="A34" s="1">
        <v>7</v>
      </c>
      <c r="B34" s="29">
        <v>1118051</v>
      </c>
      <c r="C34" s="30" t="s">
        <v>44</v>
      </c>
      <c r="D34" s="13"/>
      <c r="E34" s="41">
        <v>8</v>
      </c>
      <c r="F34" s="41">
        <v>9</v>
      </c>
      <c r="G34" s="41">
        <v>6</v>
      </c>
      <c r="H34" s="41">
        <v>8</v>
      </c>
      <c r="I34" s="41">
        <v>10</v>
      </c>
      <c r="J34" s="41">
        <v>10</v>
      </c>
      <c r="K34" s="41">
        <v>20</v>
      </c>
      <c r="L34" s="41">
        <v>27</v>
      </c>
      <c r="M34" s="41">
        <v>26</v>
      </c>
      <c r="N34" s="41">
        <v>20</v>
      </c>
      <c r="O34" s="41">
        <v>30</v>
      </c>
      <c r="P34" s="41">
        <v>26</v>
      </c>
      <c r="Q34" s="41">
        <v>27</v>
      </c>
      <c r="R34" s="41">
        <v>25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5"/>
      <c r="AU34" s="15"/>
      <c r="AV34" s="15"/>
      <c r="AW34" s="15"/>
      <c r="AX34" s="15"/>
      <c r="AY34" s="15"/>
      <c r="AZ34" s="15"/>
      <c r="BA34" s="15"/>
      <c r="BB34" s="15"/>
      <c r="BC34" s="16">
        <f t="shared" si="25"/>
        <v>71</v>
      </c>
      <c r="BD34" s="12" t="str">
        <f t="shared" si="26"/>
        <v>A-</v>
      </c>
    </row>
    <row r="35" spans="1:56" ht="15.75" customHeight="1" x14ac:dyDescent="0.3">
      <c r="A35" s="1">
        <v>8</v>
      </c>
      <c r="B35" s="29">
        <v>1118052</v>
      </c>
      <c r="C35" s="30" t="s">
        <v>45</v>
      </c>
      <c r="D35" s="13"/>
      <c r="E35" s="41">
        <v>6</v>
      </c>
      <c r="F35" s="41">
        <v>6</v>
      </c>
      <c r="G35" s="41">
        <v>7</v>
      </c>
      <c r="H35" s="41">
        <v>10</v>
      </c>
      <c r="I35" s="41">
        <v>10</v>
      </c>
      <c r="J35" s="41">
        <v>10</v>
      </c>
      <c r="K35" s="41">
        <v>28</v>
      </c>
      <c r="L35" s="41">
        <v>17</v>
      </c>
      <c r="M35" s="41">
        <v>18</v>
      </c>
      <c r="N35" s="41">
        <v>18</v>
      </c>
      <c r="O35" s="41">
        <v>30</v>
      </c>
      <c r="P35" s="41">
        <v>7</v>
      </c>
      <c r="Q35" s="41">
        <v>27</v>
      </c>
      <c r="R35" s="41">
        <v>30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5"/>
      <c r="AU35" s="15"/>
      <c r="AV35" s="15"/>
      <c r="AW35" s="15"/>
      <c r="AX35" s="15"/>
      <c r="AY35" s="15"/>
      <c r="AZ35" s="15"/>
      <c r="BA35" s="15"/>
      <c r="BB35" s="15"/>
      <c r="BC35" s="16">
        <f t="shared" si="25"/>
        <v>77</v>
      </c>
      <c r="BD35" s="12" t="str">
        <f t="shared" si="26"/>
        <v>A</v>
      </c>
    </row>
    <row r="36" spans="1:56" ht="15.75" customHeight="1" x14ac:dyDescent="0.3">
      <c r="A36" s="1">
        <v>9</v>
      </c>
      <c r="B36" s="29">
        <v>1118054</v>
      </c>
      <c r="C36" s="30" t="s">
        <v>46</v>
      </c>
      <c r="D36" s="13"/>
      <c r="E36" s="41">
        <v>6</v>
      </c>
      <c r="F36" s="41">
        <v>6</v>
      </c>
      <c r="G36" s="41">
        <v>10</v>
      </c>
      <c r="H36" s="41">
        <v>8</v>
      </c>
      <c r="I36" s="41">
        <v>10</v>
      </c>
      <c r="J36" s="41">
        <v>10</v>
      </c>
      <c r="K36" s="41">
        <v>27</v>
      </c>
      <c r="L36" s="41">
        <v>30</v>
      </c>
      <c r="M36" s="41">
        <v>7</v>
      </c>
      <c r="N36" s="41">
        <v>6</v>
      </c>
      <c r="O36" s="41">
        <v>30</v>
      </c>
      <c r="P36" s="41">
        <v>24</v>
      </c>
      <c r="Q36" s="41">
        <v>30</v>
      </c>
      <c r="R36" s="41">
        <v>24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5"/>
      <c r="AU36" s="15"/>
      <c r="AV36" s="15"/>
      <c r="AW36" s="15"/>
      <c r="AX36" s="15"/>
      <c r="AY36" s="15"/>
      <c r="AZ36" s="15"/>
      <c r="BA36" s="15"/>
      <c r="BB36" s="15"/>
      <c r="BC36" s="16">
        <f t="shared" si="25"/>
        <v>77</v>
      </c>
      <c r="BD36" s="12" t="str">
        <f t="shared" si="26"/>
        <v>A</v>
      </c>
    </row>
    <row r="37" spans="1:56" ht="15.75" customHeight="1" x14ac:dyDescent="0.3">
      <c r="A37" s="1">
        <v>10</v>
      </c>
      <c r="B37" s="29">
        <v>1118055</v>
      </c>
      <c r="C37" s="30" t="s">
        <v>47</v>
      </c>
      <c r="D37" s="13"/>
      <c r="E37" s="41">
        <v>6</v>
      </c>
      <c r="F37" s="41">
        <v>7</v>
      </c>
      <c r="G37" s="41">
        <v>9</v>
      </c>
      <c r="H37" s="41">
        <v>8</v>
      </c>
      <c r="I37" s="41">
        <v>10</v>
      </c>
      <c r="J37" s="41">
        <v>10</v>
      </c>
      <c r="K37" s="41">
        <v>16</v>
      </c>
      <c r="L37" s="41">
        <v>19</v>
      </c>
      <c r="M37" s="41">
        <v>15</v>
      </c>
      <c r="N37" s="41">
        <v>14</v>
      </c>
      <c r="O37" s="41">
        <v>30</v>
      </c>
      <c r="P37" s="41">
        <v>26</v>
      </c>
      <c r="Q37" s="41">
        <v>27</v>
      </c>
      <c r="R37" s="41">
        <v>15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5"/>
      <c r="AU37" s="15"/>
      <c r="AV37" s="15"/>
      <c r="AW37" s="15"/>
      <c r="AX37" s="15"/>
      <c r="AY37" s="15"/>
      <c r="AZ37" s="15"/>
      <c r="BA37" s="15"/>
      <c r="BB37" s="15"/>
      <c r="BC37" s="16">
        <f t="shared" si="25"/>
        <v>66</v>
      </c>
      <c r="BD37" s="12" t="str">
        <f t="shared" si="26"/>
        <v>B+</v>
      </c>
    </row>
    <row r="38" spans="1:56" ht="15.75" customHeight="1" x14ac:dyDescent="0.3">
      <c r="A38" s="1">
        <v>11</v>
      </c>
      <c r="B38" s="29">
        <v>1118056</v>
      </c>
      <c r="C38" s="30" t="s">
        <v>48</v>
      </c>
      <c r="D38" s="13"/>
      <c r="E38" s="41">
        <v>7</v>
      </c>
      <c r="F38" s="41">
        <v>10</v>
      </c>
      <c r="G38" s="41">
        <v>8</v>
      </c>
      <c r="H38" s="41">
        <v>10</v>
      </c>
      <c r="I38" s="41">
        <v>10</v>
      </c>
      <c r="J38" s="41">
        <v>10</v>
      </c>
      <c r="K38" s="41">
        <v>25</v>
      </c>
      <c r="L38" s="41">
        <v>20</v>
      </c>
      <c r="M38" s="41">
        <v>8</v>
      </c>
      <c r="N38" s="41">
        <v>14</v>
      </c>
      <c r="O38" s="41">
        <v>26</v>
      </c>
      <c r="P38" s="41">
        <v>28</v>
      </c>
      <c r="Q38" s="41">
        <v>19</v>
      </c>
      <c r="R38" s="41">
        <v>13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5"/>
      <c r="AU38" s="15"/>
      <c r="AV38" s="15"/>
      <c r="AW38" s="15"/>
      <c r="AX38" s="15"/>
      <c r="AY38" s="15"/>
      <c r="AZ38" s="15"/>
      <c r="BA38" s="15"/>
      <c r="BB38" s="15"/>
      <c r="BC38" s="16">
        <f t="shared" si="25"/>
        <v>80</v>
      </c>
      <c r="BD38" s="12" t="str">
        <f t="shared" si="26"/>
        <v>A+</v>
      </c>
    </row>
    <row r="39" spans="1:56" ht="15.75" customHeight="1" x14ac:dyDescent="0.3">
      <c r="A39" s="1">
        <v>12</v>
      </c>
      <c r="B39" s="29">
        <v>1118057</v>
      </c>
      <c r="C39" s="30" t="s">
        <v>49</v>
      </c>
      <c r="D39" s="13"/>
      <c r="E39" s="41">
        <v>7</v>
      </c>
      <c r="F39" s="41">
        <v>9</v>
      </c>
      <c r="G39" s="41">
        <v>10</v>
      </c>
      <c r="H39" s="41">
        <v>9</v>
      </c>
      <c r="I39" s="41">
        <v>10</v>
      </c>
      <c r="J39" s="41">
        <v>10</v>
      </c>
      <c r="K39" s="41">
        <v>16</v>
      </c>
      <c r="L39" s="41">
        <v>30</v>
      </c>
      <c r="M39" s="41">
        <v>27</v>
      </c>
      <c r="N39" s="41">
        <v>22</v>
      </c>
      <c r="O39" s="41">
        <v>30</v>
      </c>
      <c r="P39" s="41">
        <v>21</v>
      </c>
      <c r="Q39" s="41">
        <v>28</v>
      </c>
      <c r="R39" s="41">
        <v>24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5"/>
      <c r="AU39" s="15"/>
      <c r="AV39" s="15"/>
      <c r="AW39" s="15"/>
      <c r="AX39" s="15"/>
      <c r="AY39" s="15"/>
      <c r="AZ39" s="15"/>
      <c r="BA39" s="15"/>
      <c r="BB39" s="15"/>
      <c r="BC39" s="16">
        <f t="shared" si="25"/>
        <v>71</v>
      </c>
      <c r="BD39" s="12" t="str">
        <f t="shared" si="26"/>
        <v>A-</v>
      </c>
    </row>
    <row r="40" spans="1:56" ht="15.75" customHeight="1" x14ac:dyDescent="0.3">
      <c r="A40" s="1">
        <v>13</v>
      </c>
      <c r="B40" s="29">
        <v>1118058</v>
      </c>
      <c r="C40" s="30" t="s">
        <v>50</v>
      </c>
      <c r="D40" s="13"/>
      <c r="E40" s="41">
        <v>6</v>
      </c>
      <c r="F40" s="41">
        <v>6</v>
      </c>
      <c r="G40" s="41">
        <v>6</v>
      </c>
      <c r="H40" s="41">
        <v>9</v>
      </c>
      <c r="I40" s="41">
        <v>10</v>
      </c>
      <c r="J40" s="41">
        <v>10</v>
      </c>
      <c r="K40" s="41">
        <v>24</v>
      </c>
      <c r="L40" s="41">
        <v>23</v>
      </c>
      <c r="M40" s="41">
        <v>0</v>
      </c>
      <c r="N40" s="41">
        <v>7</v>
      </c>
      <c r="O40" s="41">
        <v>26</v>
      </c>
      <c r="P40" s="41">
        <v>13</v>
      </c>
      <c r="Q40" s="41">
        <v>23</v>
      </c>
      <c r="R40" s="41">
        <v>16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5"/>
      <c r="AU40" s="15"/>
      <c r="AV40" s="15"/>
      <c r="AW40" s="15"/>
      <c r="AX40" s="15"/>
      <c r="AY40" s="15"/>
      <c r="AZ40" s="15"/>
      <c r="BA40" s="15"/>
      <c r="BB40" s="15"/>
      <c r="BC40" s="16">
        <f t="shared" si="25"/>
        <v>71</v>
      </c>
      <c r="BD40" s="12" t="str">
        <f t="shared" si="26"/>
        <v>A-</v>
      </c>
    </row>
    <row r="41" spans="1:56" ht="15.75" customHeight="1" x14ac:dyDescent="0.3">
      <c r="A41" s="1">
        <v>14</v>
      </c>
      <c r="B41" s="29">
        <v>1118059</v>
      </c>
      <c r="C41" s="30" t="s">
        <v>51</v>
      </c>
      <c r="D41" s="13"/>
      <c r="E41" s="41">
        <v>6</v>
      </c>
      <c r="F41" s="41">
        <v>9</v>
      </c>
      <c r="G41" s="41">
        <v>9</v>
      </c>
      <c r="H41" s="41">
        <v>8</v>
      </c>
      <c r="I41" s="41">
        <v>10</v>
      </c>
      <c r="J41" s="41">
        <v>10</v>
      </c>
      <c r="K41" s="41">
        <v>17</v>
      </c>
      <c r="L41" s="41">
        <v>20</v>
      </c>
      <c r="M41" s="41">
        <v>15</v>
      </c>
      <c r="N41" s="41">
        <v>14</v>
      </c>
      <c r="O41" s="41">
        <v>23</v>
      </c>
      <c r="P41" s="41">
        <v>22</v>
      </c>
      <c r="Q41" s="41">
        <v>8</v>
      </c>
      <c r="R41" s="41">
        <v>22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5"/>
      <c r="AU41" s="15"/>
      <c r="AV41" s="15"/>
      <c r="AW41" s="15"/>
      <c r="AX41" s="15"/>
      <c r="AY41" s="15"/>
      <c r="AZ41" s="15"/>
      <c r="BA41" s="15"/>
      <c r="BB41" s="15"/>
      <c r="BC41" s="16">
        <f t="shared" si="25"/>
        <v>69</v>
      </c>
      <c r="BD41" s="12" t="str">
        <f t="shared" si="26"/>
        <v>B+</v>
      </c>
    </row>
    <row r="42" spans="1:56" ht="15.75" customHeight="1" x14ac:dyDescent="0.3">
      <c r="A42" s="1">
        <v>15</v>
      </c>
      <c r="B42" s="29">
        <v>1118061</v>
      </c>
      <c r="C42" s="30" t="s">
        <v>52</v>
      </c>
      <c r="D42" s="13"/>
      <c r="E42" s="41">
        <v>4</v>
      </c>
      <c r="F42" s="41">
        <v>10</v>
      </c>
      <c r="G42" s="41">
        <v>8</v>
      </c>
      <c r="H42" s="41">
        <v>10</v>
      </c>
      <c r="I42" s="41">
        <v>10</v>
      </c>
      <c r="J42" s="41">
        <v>10</v>
      </c>
      <c r="K42" s="41">
        <v>28</v>
      </c>
      <c r="L42" s="41">
        <v>20</v>
      </c>
      <c r="M42" s="41">
        <v>12</v>
      </c>
      <c r="N42" s="41">
        <v>6</v>
      </c>
      <c r="O42" s="41">
        <v>30</v>
      </c>
      <c r="P42" s="41">
        <v>27</v>
      </c>
      <c r="Q42" s="41">
        <v>22</v>
      </c>
      <c r="R42" s="41">
        <v>26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5"/>
      <c r="AU42" s="15"/>
      <c r="AV42" s="15"/>
      <c r="AW42" s="15"/>
      <c r="AX42" s="15"/>
      <c r="AY42" s="15"/>
      <c r="AZ42" s="15"/>
      <c r="BA42" s="15"/>
      <c r="BB42" s="15"/>
      <c r="BC42" s="16">
        <f t="shared" si="25"/>
        <v>80</v>
      </c>
      <c r="BD42" s="12" t="str">
        <f t="shared" si="26"/>
        <v>A+</v>
      </c>
    </row>
    <row r="43" spans="1:56" ht="15.75" customHeight="1" x14ac:dyDescent="0.3">
      <c r="A43" s="1">
        <v>16</v>
      </c>
      <c r="B43" s="29">
        <v>1118062</v>
      </c>
      <c r="C43" s="30" t="s">
        <v>53</v>
      </c>
      <c r="D43" s="13"/>
      <c r="E43" s="41">
        <v>2</v>
      </c>
      <c r="F43" s="41">
        <v>9</v>
      </c>
      <c r="G43" s="41">
        <v>6</v>
      </c>
      <c r="H43" s="41">
        <v>9</v>
      </c>
      <c r="I43" s="41">
        <v>10</v>
      </c>
      <c r="J43" s="41">
        <v>10</v>
      </c>
      <c r="K43" s="41">
        <v>17</v>
      </c>
      <c r="L43" s="41">
        <v>20</v>
      </c>
      <c r="M43" s="41">
        <v>5</v>
      </c>
      <c r="N43" s="41">
        <v>6</v>
      </c>
      <c r="O43" s="41">
        <v>30</v>
      </c>
      <c r="P43" s="41">
        <v>12</v>
      </c>
      <c r="Q43" s="41">
        <v>12</v>
      </c>
      <c r="R43" s="41">
        <v>20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5"/>
      <c r="AU43" s="15"/>
      <c r="AV43" s="15"/>
      <c r="AW43" s="15"/>
      <c r="AX43" s="15"/>
      <c r="AY43" s="15"/>
      <c r="AZ43" s="15"/>
      <c r="BA43" s="15"/>
      <c r="BB43" s="15"/>
      <c r="BC43" s="16">
        <f t="shared" si="25"/>
        <v>63</v>
      </c>
      <c r="BD43" s="12" t="str">
        <f t="shared" si="26"/>
        <v>B</v>
      </c>
    </row>
    <row r="44" spans="1:56" ht="15.75" customHeight="1" x14ac:dyDescent="0.3">
      <c r="A44" s="1">
        <v>17</v>
      </c>
      <c r="B44" s="29">
        <v>1118064</v>
      </c>
      <c r="C44" s="30" t="s">
        <v>54</v>
      </c>
      <c r="D44" s="13"/>
      <c r="E44" s="41">
        <v>3</v>
      </c>
      <c r="F44" s="41">
        <v>7</v>
      </c>
      <c r="G44" s="41" t="s">
        <v>83</v>
      </c>
      <c r="H44" s="41">
        <v>10</v>
      </c>
      <c r="I44" s="41">
        <v>10</v>
      </c>
      <c r="J44" s="41">
        <v>10</v>
      </c>
      <c r="K44" s="41">
        <v>25</v>
      </c>
      <c r="L44" s="41">
        <v>26</v>
      </c>
      <c r="M44" s="41">
        <v>10</v>
      </c>
      <c r="N44" s="41">
        <v>16</v>
      </c>
      <c r="O44" s="41">
        <v>30</v>
      </c>
      <c r="P44" s="41">
        <v>26</v>
      </c>
      <c r="Q44" s="41">
        <v>12</v>
      </c>
      <c r="R44" s="41">
        <v>25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5"/>
      <c r="AU44" s="15"/>
      <c r="AV44" s="15"/>
      <c r="AW44" s="15"/>
      <c r="AX44" s="15"/>
      <c r="AY44" s="15"/>
      <c r="AZ44" s="15"/>
      <c r="BA44" s="15"/>
      <c r="BB44" s="15"/>
      <c r="BC44" s="16">
        <f t="shared" si="25"/>
        <v>65</v>
      </c>
      <c r="BD44" s="12" t="str">
        <f t="shared" si="26"/>
        <v>B+</v>
      </c>
    </row>
    <row r="45" spans="1:56" ht="15.75" customHeight="1" x14ac:dyDescent="0.3">
      <c r="A45" s="1">
        <v>18</v>
      </c>
      <c r="B45" s="29">
        <v>1118065</v>
      </c>
      <c r="C45" s="30" t="s">
        <v>55</v>
      </c>
      <c r="D45" s="13"/>
      <c r="E45" s="41">
        <v>2</v>
      </c>
      <c r="F45" s="41">
        <v>8</v>
      </c>
      <c r="G45" s="41">
        <v>10</v>
      </c>
      <c r="H45" s="41">
        <v>8</v>
      </c>
      <c r="I45" s="41">
        <v>10</v>
      </c>
      <c r="J45" s="41">
        <v>10</v>
      </c>
      <c r="K45" s="41">
        <v>22</v>
      </c>
      <c r="L45" s="41">
        <v>20</v>
      </c>
      <c r="M45" s="41">
        <v>20</v>
      </c>
      <c r="N45" s="41">
        <v>16</v>
      </c>
      <c r="O45" s="41">
        <v>21</v>
      </c>
      <c r="P45" s="41">
        <v>20</v>
      </c>
      <c r="Q45" s="41">
        <v>17</v>
      </c>
      <c r="R45" s="41">
        <v>14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5"/>
      <c r="AU45" s="15"/>
      <c r="AV45" s="15"/>
      <c r="AW45" s="15"/>
      <c r="AX45" s="15"/>
      <c r="AY45" s="15"/>
      <c r="AZ45" s="15"/>
      <c r="BA45" s="15"/>
      <c r="BB45" s="15"/>
      <c r="BC45" s="16">
        <f t="shared" si="25"/>
        <v>70</v>
      </c>
      <c r="BD45" s="12" t="str">
        <f t="shared" si="26"/>
        <v>A-</v>
      </c>
    </row>
    <row r="46" spans="1:56" ht="15.75" customHeight="1" x14ac:dyDescent="0.3">
      <c r="A46" s="1">
        <v>19</v>
      </c>
      <c r="B46" s="29">
        <v>1118066</v>
      </c>
      <c r="C46" s="30" t="s">
        <v>56</v>
      </c>
      <c r="D46" s="13"/>
      <c r="E46" s="41">
        <v>9</v>
      </c>
      <c r="F46" s="41">
        <v>10</v>
      </c>
      <c r="G46" s="41">
        <v>8</v>
      </c>
      <c r="H46" s="41">
        <v>10</v>
      </c>
      <c r="I46" s="41">
        <v>10</v>
      </c>
      <c r="J46" s="41">
        <v>10</v>
      </c>
      <c r="K46" s="41">
        <v>23</v>
      </c>
      <c r="L46" s="41">
        <v>20</v>
      </c>
      <c r="M46" s="41">
        <v>25</v>
      </c>
      <c r="N46" s="41">
        <v>21</v>
      </c>
      <c r="O46" s="41">
        <v>30</v>
      </c>
      <c r="P46" s="41">
        <v>26</v>
      </c>
      <c r="Q46" s="41">
        <v>30</v>
      </c>
      <c r="R46" s="41">
        <v>30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5"/>
      <c r="AU46" s="15"/>
      <c r="AV46" s="15"/>
      <c r="AW46" s="15"/>
      <c r="AX46" s="15"/>
      <c r="AY46" s="15"/>
      <c r="AZ46" s="15"/>
      <c r="BA46" s="15"/>
      <c r="BB46" s="15"/>
      <c r="BC46" s="16">
        <f t="shared" si="25"/>
        <v>80</v>
      </c>
      <c r="BD46" s="12" t="str">
        <f t="shared" si="26"/>
        <v>A+</v>
      </c>
    </row>
    <row r="47" spans="1:56" ht="15.75" customHeight="1" x14ac:dyDescent="0.3">
      <c r="A47" s="1">
        <v>20</v>
      </c>
      <c r="B47" s="29">
        <v>1118067</v>
      </c>
      <c r="C47" s="30" t="s">
        <v>57</v>
      </c>
      <c r="D47" s="13"/>
      <c r="E47" s="41">
        <v>7</v>
      </c>
      <c r="F47" s="41">
        <v>10</v>
      </c>
      <c r="G47" s="41">
        <v>9</v>
      </c>
      <c r="H47" s="41">
        <v>10</v>
      </c>
      <c r="I47" s="41">
        <v>10</v>
      </c>
      <c r="J47" s="41">
        <v>10</v>
      </c>
      <c r="K47" s="41">
        <v>26</v>
      </c>
      <c r="L47" s="41">
        <v>20</v>
      </c>
      <c r="M47" s="41">
        <v>20</v>
      </c>
      <c r="N47" s="41">
        <v>22</v>
      </c>
      <c r="O47" s="41">
        <v>30</v>
      </c>
      <c r="P47" s="41">
        <v>26</v>
      </c>
      <c r="Q47" s="41">
        <v>27</v>
      </c>
      <c r="R47" s="41">
        <v>26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5"/>
      <c r="AU47" s="15"/>
      <c r="AV47" s="15"/>
      <c r="AW47" s="15"/>
      <c r="AX47" s="15"/>
      <c r="AY47" s="15"/>
      <c r="AZ47" s="15"/>
      <c r="BA47" s="15"/>
      <c r="BB47" s="15"/>
      <c r="BC47" s="16">
        <f t="shared" si="25"/>
        <v>82</v>
      </c>
      <c r="BD47" s="12" t="str">
        <f t="shared" si="26"/>
        <v>A+</v>
      </c>
    </row>
    <row r="48" spans="1:56" ht="15.75" customHeight="1" x14ac:dyDescent="0.3">
      <c r="A48" s="1">
        <v>21</v>
      </c>
      <c r="B48" s="29">
        <v>1118068</v>
      </c>
      <c r="C48" s="30" t="s">
        <v>58</v>
      </c>
      <c r="D48" s="13"/>
      <c r="E48" s="41">
        <v>8</v>
      </c>
      <c r="F48" s="41">
        <v>10</v>
      </c>
      <c r="G48" s="41">
        <v>10</v>
      </c>
      <c r="H48" s="41">
        <v>10</v>
      </c>
      <c r="I48" s="41">
        <v>10</v>
      </c>
      <c r="J48" s="41">
        <v>10</v>
      </c>
      <c r="K48" s="41">
        <v>24</v>
      </c>
      <c r="L48" s="41">
        <v>30</v>
      </c>
      <c r="M48" s="41">
        <v>25</v>
      </c>
      <c r="N48" s="41">
        <v>22</v>
      </c>
      <c r="O48" s="41">
        <v>30</v>
      </c>
      <c r="P48" s="41">
        <v>23</v>
      </c>
      <c r="Q48" s="41">
        <v>13</v>
      </c>
      <c r="R48" s="41">
        <v>22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5"/>
      <c r="AU48" s="15"/>
      <c r="AV48" s="15"/>
      <c r="AW48" s="15"/>
      <c r="AX48" s="15"/>
      <c r="AY48" s="15"/>
      <c r="AZ48" s="15"/>
      <c r="BA48" s="15"/>
      <c r="BB48" s="15"/>
      <c r="BC48" s="16">
        <f t="shared" si="25"/>
        <v>82</v>
      </c>
      <c r="BD48" s="12" t="str">
        <f t="shared" si="26"/>
        <v>A+</v>
      </c>
    </row>
    <row r="49" spans="1:56" ht="15.75" customHeight="1" x14ac:dyDescent="0.3">
      <c r="A49" s="1">
        <v>22</v>
      </c>
      <c r="B49" s="29">
        <v>1118069</v>
      </c>
      <c r="C49" s="30" t="s">
        <v>59</v>
      </c>
      <c r="D49" s="13"/>
      <c r="E49" s="41">
        <v>10</v>
      </c>
      <c r="F49" s="41">
        <v>9</v>
      </c>
      <c r="G49" s="41">
        <v>10</v>
      </c>
      <c r="H49" s="41">
        <v>8</v>
      </c>
      <c r="I49" s="41">
        <v>10</v>
      </c>
      <c r="J49" s="41">
        <v>10</v>
      </c>
      <c r="K49" s="41">
        <v>6</v>
      </c>
      <c r="L49" s="41">
        <v>22</v>
      </c>
      <c r="M49" s="41">
        <v>15</v>
      </c>
      <c r="N49" s="41">
        <v>0</v>
      </c>
      <c r="O49" s="41">
        <v>30</v>
      </c>
      <c r="P49" s="41">
        <v>26</v>
      </c>
      <c r="Q49" s="41">
        <v>25</v>
      </c>
      <c r="R49" s="41">
        <v>27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5"/>
      <c r="AU49" s="15"/>
      <c r="AV49" s="15"/>
      <c r="AW49" s="15"/>
      <c r="AX49" s="15"/>
      <c r="AY49" s="15"/>
      <c r="AZ49" s="15"/>
      <c r="BA49" s="15"/>
      <c r="BB49" s="15"/>
      <c r="BC49" s="16">
        <f t="shared" si="25"/>
        <v>63</v>
      </c>
      <c r="BD49" s="12" t="str">
        <f t="shared" si="26"/>
        <v>B</v>
      </c>
    </row>
    <row r="50" spans="1:56" ht="15.75" customHeight="1" x14ac:dyDescent="0.3">
      <c r="A50" s="1">
        <v>23</v>
      </c>
      <c r="B50" s="29">
        <v>1118071</v>
      </c>
      <c r="C50" s="30" t="s">
        <v>60</v>
      </c>
      <c r="D50" s="13"/>
      <c r="E50" s="41">
        <v>4</v>
      </c>
      <c r="F50" s="41">
        <v>8</v>
      </c>
      <c r="G50" s="41">
        <v>8</v>
      </c>
      <c r="H50" s="41">
        <v>5</v>
      </c>
      <c r="I50" s="41">
        <v>10</v>
      </c>
      <c r="J50" s="41">
        <v>10</v>
      </c>
      <c r="K50" s="41">
        <v>5</v>
      </c>
      <c r="L50" s="41">
        <v>25</v>
      </c>
      <c r="M50" s="41">
        <v>18</v>
      </c>
      <c r="N50" s="41">
        <v>0</v>
      </c>
      <c r="O50" s="41">
        <v>18</v>
      </c>
      <c r="P50" s="41">
        <v>20</v>
      </c>
      <c r="Q50" s="41">
        <v>17</v>
      </c>
      <c r="R50" s="41">
        <v>6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5"/>
      <c r="AU50" s="15"/>
      <c r="AV50" s="15"/>
      <c r="AW50" s="15"/>
      <c r="AX50" s="15"/>
      <c r="AY50" s="15"/>
      <c r="AZ50" s="15"/>
      <c r="BA50" s="15"/>
      <c r="BB50" s="15"/>
      <c r="BC50" s="16">
        <f t="shared" si="25"/>
        <v>50</v>
      </c>
      <c r="BD50" s="12" t="str">
        <f t="shared" si="26"/>
        <v>C+</v>
      </c>
    </row>
    <row r="51" spans="1:56" ht="15.75" customHeight="1" x14ac:dyDescent="0.3">
      <c r="A51" s="1">
        <v>24</v>
      </c>
      <c r="B51" s="29">
        <v>1118072</v>
      </c>
      <c r="C51" s="30" t="s">
        <v>61</v>
      </c>
      <c r="D51" s="13"/>
      <c r="E51" s="41">
        <v>6</v>
      </c>
      <c r="F51" s="41">
        <v>10</v>
      </c>
      <c r="G51" s="41">
        <v>6</v>
      </c>
      <c r="H51" s="41">
        <v>9</v>
      </c>
      <c r="I51" s="41">
        <v>10</v>
      </c>
      <c r="J51" s="41">
        <v>10</v>
      </c>
      <c r="K51" s="41">
        <v>25</v>
      </c>
      <c r="L51" s="41">
        <v>30</v>
      </c>
      <c r="M51" s="41">
        <v>17</v>
      </c>
      <c r="N51" s="41">
        <v>21</v>
      </c>
      <c r="O51" s="41">
        <v>20</v>
      </c>
      <c r="P51" s="41">
        <v>16</v>
      </c>
      <c r="Q51" s="41">
        <v>24</v>
      </c>
      <c r="R51" s="41">
        <v>19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5"/>
      <c r="AU51" s="15"/>
      <c r="AV51" s="15"/>
      <c r="AW51" s="15"/>
      <c r="AX51" s="15"/>
      <c r="AY51" s="15"/>
      <c r="AZ51" s="15"/>
      <c r="BA51" s="15"/>
      <c r="BB51" s="15"/>
      <c r="BC51" s="16">
        <f t="shared" si="25"/>
        <v>76</v>
      </c>
      <c r="BD51" s="12" t="str">
        <f t="shared" si="26"/>
        <v>A</v>
      </c>
    </row>
    <row r="52" spans="1:56" ht="15.75" customHeight="1" x14ac:dyDescent="0.3">
      <c r="A52" s="1">
        <v>25</v>
      </c>
      <c r="B52" s="29">
        <v>1118073</v>
      </c>
      <c r="C52" s="30" t="s">
        <v>62</v>
      </c>
      <c r="D52" s="13"/>
      <c r="E52" s="41">
        <v>6</v>
      </c>
      <c r="F52" s="41">
        <v>7</v>
      </c>
      <c r="G52" s="41">
        <v>6</v>
      </c>
      <c r="H52" s="41">
        <v>10</v>
      </c>
      <c r="I52" s="41">
        <v>10</v>
      </c>
      <c r="J52" s="41">
        <v>10</v>
      </c>
      <c r="K52" s="41">
        <v>18</v>
      </c>
      <c r="L52" s="41">
        <v>20</v>
      </c>
      <c r="M52" s="41">
        <v>25</v>
      </c>
      <c r="N52" s="41">
        <v>13</v>
      </c>
      <c r="O52" s="41">
        <v>27</v>
      </c>
      <c r="P52" s="41">
        <v>28</v>
      </c>
      <c r="Q52" s="41">
        <v>25</v>
      </c>
      <c r="R52" s="41">
        <v>18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5"/>
      <c r="AU52" s="15"/>
      <c r="AV52" s="15"/>
      <c r="AW52" s="15"/>
      <c r="AX52" s="15"/>
      <c r="AY52" s="15"/>
      <c r="AZ52" s="15"/>
      <c r="BA52" s="15"/>
      <c r="BB52" s="15"/>
      <c r="BC52" s="16">
        <f t="shared" si="25"/>
        <v>67</v>
      </c>
      <c r="BD52" s="12" t="str">
        <f t="shared" si="26"/>
        <v>B+</v>
      </c>
    </row>
    <row r="53" spans="1:56" ht="15.75" customHeight="1" x14ac:dyDescent="0.3">
      <c r="A53" s="1">
        <v>26</v>
      </c>
      <c r="B53" s="29">
        <v>1118074</v>
      </c>
      <c r="C53" s="30" t="s">
        <v>63</v>
      </c>
      <c r="D53" s="13"/>
      <c r="E53" s="41">
        <v>2</v>
      </c>
      <c r="F53" s="41">
        <v>5</v>
      </c>
      <c r="G53" s="41">
        <v>6</v>
      </c>
      <c r="H53" s="41">
        <v>7</v>
      </c>
      <c r="I53" s="41">
        <v>10</v>
      </c>
      <c r="J53" s="41">
        <v>10</v>
      </c>
      <c r="K53" s="41">
        <v>14</v>
      </c>
      <c r="L53" s="41">
        <v>20</v>
      </c>
      <c r="M53" s="41">
        <v>12</v>
      </c>
      <c r="N53" s="41">
        <v>5</v>
      </c>
      <c r="O53" s="41">
        <v>26</v>
      </c>
      <c r="P53" s="41">
        <v>23</v>
      </c>
      <c r="Q53" s="41">
        <v>20</v>
      </c>
      <c r="R53" s="41">
        <v>18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5"/>
      <c r="AU53" s="15"/>
      <c r="AV53" s="15"/>
      <c r="AW53" s="15"/>
      <c r="AX53" s="15"/>
      <c r="AY53" s="15"/>
      <c r="AZ53" s="15"/>
      <c r="BA53" s="15"/>
      <c r="BB53" s="15"/>
      <c r="BC53" s="16">
        <f t="shared" si="25"/>
        <v>54</v>
      </c>
      <c r="BD53" s="12" t="str">
        <f t="shared" si="26"/>
        <v>C+</v>
      </c>
    </row>
    <row r="54" spans="1:56" ht="15.75" customHeight="1" x14ac:dyDescent="0.3">
      <c r="A54" s="1">
        <v>27</v>
      </c>
      <c r="B54" s="29">
        <v>1118076</v>
      </c>
      <c r="C54" s="30" t="s">
        <v>64</v>
      </c>
      <c r="D54" s="13"/>
      <c r="E54" s="41">
        <v>6</v>
      </c>
      <c r="F54" s="41">
        <v>9</v>
      </c>
      <c r="G54" s="41">
        <v>10</v>
      </c>
      <c r="H54" s="41">
        <v>8</v>
      </c>
      <c r="I54" s="41">
        <v>10</v>
      </c>
      <c r="J54" s="41">
        <v>10</v>
      </c>
      <c r="K54" s="41">
        <v>0</v>
      </c>
      <c r="L54" s="41">
        <v>25</v>
      </c>
      <c r="M54" s="41">
        <v>15</v>
      </c>
      <c r="N54" s="41">
        <v>19</v>
      </c>
      <c r="O54" s="41">
        <v>26</v>
      </c>
      <c r="P54" s="41">
        <v>17</v>
      </c>
      <c r="Q54" s="41">
        <v>15</v>
      </c>
      <c r="R54" s="41">
        <v>8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5"/>
      <c r="AU54" s="15"/>
      <c r="AV54" s="15"/>
      <c r="AW54" s="15"/>
      <c r="AX54" s="15"/>
      <c r="AY54" s="15"/>
      <c r="AZ54" s="15"/>
      <c r="BA54" s="15"/>
      <c r="BB54" s="15"/>
      <c r="BC54" s="16">
        <f t="shared" si="25"/>
        <v>53</v>
      </c>
      <c r="BD54" s="12" t="str">
        <f t="shared" si="26"/>
        <v>C+</v>
      </c>
    </row>
    <row r="55" spans="1:56" ht="15.75" customHeight="1" x14ac:dyDescent="0.3">
      <c r="A55" s="1">
        <v>28</v>
      </c>
      <c r="B55" s="29">
        <v>1118078</v>
      </c>
      <c r="C55" s="30" t="s">
        <v>65</v>
      </c>
      <c r="D55" s="13"/>
      <c r="E55" s="41">
        <v>2</v>
      </c>
      <c r="F55" s="41">
        <v>9</v>
      </c>
      <c r="G55" s="41">
        <v>10</v>
      </c>
      <c r="H55" s="41">
        <v>8</v>
      </c>
      <c r="I55" s="41">
        <v>10</v>
      </c>
      <c r="J55" s="41">
        <v>10</v>
      </c>
      <c r="K55" s="41">
        <v>30</v>
      </c>
      <c r="L55" s="41">
        <v>20</v>
      </c>
      <c r="M55" s="41">
        <v>25</v>
      </c>
      <c r="N55" s="41">
        <v>23</v>
      </c>
      <c r="O55" s="41">
        <v>26</v>
      </c>
      <c r="P55" s="41">
        <v>20</v>
      </c>
      <c r="Q55" s="41">
        <v>20</v>
      </c>
      <c r="R55" s="41">
        <v>25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5"/>
      <c r="AU55" s="15"/>
      <c r="AV55" s="15"/>
      <c r="AW55" s="15"/>
      <c r="AX55" s="15"/>
      <c r="AY55" s="15"/>
      <c r="AZ55" s="15"/>
      <c r="BA55" s="15"/>
      <c r="BB55" s="15"/>
      <c r="BC55" s="16">
        <f t="shared" si="25"/>
        <v>79</v>
      </c>
      <c r="BD55" s="12" t="str">
        <f t="shared" si="26"/>
        <v>A</v>
      </c>
    </row>
    <row r="56" spans="1:56" ht="15.75" customHeight="1" x14ac:dyDescent="0.3">
      <c r="A56" s="1">
        <v>29</v>
      </c>
      <c r="B56" s="29">
        <v>1118079</v>
      </c>
      <c r="C56" s="30" t="s">
        <v>66</v>
      </c>
      <c r="D56" s="13"/>
      <c r="E56" s="41">
        <v>7</v>
      </c>
      <c r="F56" s="41">
        <v>10</v>
      </c>
      <c r="G56" s="41">
        <v>10</v>
      </c>
      <c r="H56" s="41">
        <v>9</v>
      </c>
      <c r="I56" s="41">
        <v>10</v>
      </c>
      <c r="J56" s="41">
        <v>10</v>
      </c>
      <c r="K56" s="41">
        <v>25</v>
      </c>
      <c r="L56" s="41">
        <v>23</v>
      </c>
      <c r="M56" s="41">
        <v>27</v>
      </c>
      <c r="N56" s="41">
        <v>16</v>
      </c>
      <c r="O56" s="41">
        <v>30</v>
      </c>
      <c r="P56" s="41">
        <v>16</v>
      </c>
      <c r="Q56" s="41">
        <v>27</v>
      </c>
      <c r="R56" s="41">
        <v>24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5"/>
      <c r="AU56" s="15"/>
      <c r="AV56" s="15"/>
      <c r="AW56" s="15"/>
      <c r="AX56" s="15"/>
      <c r="AY56" s="15"/>
      <c r="AZ56" s="15"/>
      <c r="BA56" s="15"/>
      <c r="BB56" s="15"/>
      <c r="BC56" s="16">
        <f t="shared" si="25"/>
        <v>81</v>
      </c>
      <c r="BD56" s="12" t="str">
        <f t="shared" si="26"/>
        <v>A+</v>
      </c>
    </row>
    <row r="57" spans="1:56" ht="15.75" customHeight="1" x14ac:dyDescent="0.3">
      <c r="A57" s="1">
        <v>30</v>
      </c>
      <c r="B57" s="29">
        <v>1118080</v>
      </c>
      <c r="C57" s="30" t="s">
        <v>67</v>
      </c>
      <c r="D57" s="13"/>
      <c r="E57" s="41">
        <v>5</v>
      </c>
      <c r="F57" s="41">
        <v>8</v>
      </c>
      <c r="G57" s="41">
        <v>9</v>
      </c>
      <c r="H57" s="41">
        <v>9</v>
      </c>
      <c r="I57" s="41">
        <v>10</v>
      </c>
      <c r="J57" s="41">
        <v>10</v>
      </c>
      <c r="K57" s="41">
        <v>27</v>
      </c>
      <c r="L57" s="41">
        <v>15</v>
      </c>
      <c r="M57" s="41">
        <v>15</v>
      </c>
      <c r="N57" s="41">
        <v>23</v>
      </c>
      <c r="O57" s="41">
        <v>24</v>
      </c>
      <c r="P57" s="41">
        <v>24</v>
      </c>
      <c r="Q57" s="41">
        <v>27</v>
      </c>
      <c r="R57" s="41">
        <v>22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5"/>
      <c r="AU57" s="15"/>
      <c r="AV57" s="15"/>
      <c r="AW57" s="15"/>
      <c r="AX57" s="15"/>
      <c r="AY57" s="15"/>
      <c r="AZ57" s="15"/>
      <c r="BA57" s="15"/>
      <c r="BB57" s="15"/>
      <c r="BC57" s="16">
        <f t="shared" si="25"/>
        <v>78</v>
      </c>
      <c r="BD57" s="12" t="str">
        <f t="shared" si="26"/>
        <v>A</v>
      </c>
    </row>
    <row r="58" spans="1:56" ht="15.75" customHeight="1" x14ac:dyDescent="0.3">
      <c r="A58" s="1">
        <v>31</v>
      </c>
      <c r="B58" s="29">
        <v>1118081</v>
      </c>
      <c r="C58" s="30" t="s">
        <v>68</v>
      </c>
      <c r="D58" s="13"/>
      <c r="E58" s="41">
        <v>6</v>
      </c>
      <c r="F58" s="41">
        <v>9</v>
      </c>
      <c r="G58" s="41">
        <v>6</v>
      </c>
      <c r="H58" s="41">
        <v>8</v>
      </c>
      <c r="I58" s="41">
        <v>10</v>
      </c>
      <c r="J58" s="41">
        <v>10</v>
      </c>
      <c r="K58" s="41">
        <v>23</v>
      </c>
      <c r="L58" s="41">
        <v>28</v>
      </c>
      <c r="M58" s="41">
        <v>30</v>
      </c>
      <c r="N58" s="41">
        <v>23</v>
      </c>
      <c r="O58" s="41">
        <v>30</v>
      </c>
      <c r="P58" s="41">
        <v>30</v>
      </c>
      <c r="Q58" s="41">
        <v>23</v>
      </c>
      <c r="R58" s="41">
        <v>17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5"/>
      <c r="AU58" s="15"/>
      <c r="AV58" s="15"/>
      <c r="AW58" s="15"/>
      <c r="AX58" s="15"/>
      <c r="AY58" s="15"/>
      <c r="AZ58" s="15"/>
      <c r="BA58" s="15"/>
      <c r="BB58" s="15"/>
      <c r="BC58" s="16">
        <f t="shared" si="25"/>
        <v>72</v>
      </c>
      <c r="BD58" s="12" t="str">
        <f t="shared" si="26"/>
        <v>A-</v>
      </c>
    </row>
    <row r="59" spans="1:56" ht="15.75" customHeight="1" x14ac:dyDescent="0.3">
      <c r="A59" s="1">
        <v>32</v>
      </c>
      <c r="B59" s="29">
        <v>1118082</v>
      </c>
      <c r="C59" s="30" t="s">
        <v>69</v>
      </c>
      <c r="D59" s="13"/>
      <c r="E59" s="41">
        <v>6</v>
      </c>
      <c r="F59" s="41">
        <v>9</v>
      </c>
      <c r="G59" s="41">
        <v>10</v>
      </c>
      <c r="H59" s="41">
        <v>8</v>
      </c>
      <c r="I59" s="41">
        <v>10</v>
      </c>
      <c r="J59" s="41">
        <v>10</v>
      </c>
      <c r="K59" s="41">
        <v>17</v>
      </c>
      <c r="L59" s="41">
        <v>25</v>
      </c>
      <c r="M59" s="41">
        <v>15</v>
      </c>
      <c r="N59" s="41">
        <v>17</v>
      </c>
      <c r="O59" s="41">
        <v>28</v>
      </c>
      <c r="P59" s="41">
        <v>28</v>
      </c>
      <c r="Q59" s="41">
        <v>20</v>
      </c>
      <c r="R59" s="41">
        <v>20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5"/>
      <c r="AU59" s="15"/>
      <c r="AV59" s="15"/>
      <c r="AW59" s="15"/>
      <c r="AX59" s="15"/>
      <c r="AY59" s="15"/>
      <c r="AZ59" s="15"/>
      <c r="BA59" s="15"/>
      <c r="BB59" s="15"/>
      <c r="BC59" s="16">
        <f t="shared" si="25"/>
        <v>70</v>
      </c>
      <c r="BD59" s="12" t="str">
        <f t="shared" si="26"/>
        <v>A-</v>
      </c>
    </row>
    <row r="60" spans="1:56" ht="15.75" customHeight="1" x14ac:dyDescent="0.3">
      <c r="A60" s="1">
        <v>33</v>
      </c>
      <c r="B60" s="29">
        <v>1118086</v>
      </c>
      <c r="C60" s="30" t="s">
        <v>70</v>
      </c>
      <c r="D60" s="13"/>
      <c r="E60" s="41">
        <v>5</v>
      </c>
      <c r="F60" s="41">
        <v>8</v>
      </c>
      <c r="G60" s="41">
        <v>8</v>
      </c>
      <c r="H60" s="41">
        <v>8</v>
      </c>
      <c r="I60" s="41">
        <v>10</v>
      </c>
      <c r="J60" s="41">
        <v>10</v>
      </c>
      <c r="K60" s="41">
        <v>20</v>
      </c>
      <c r="L60" s="41">
        <v>17</v>
      </c>
      <c r="M60" s="41">
        <v>25</v>
      </c>
      <c r="N60" s="41">
        <v>19</v>
      </c>
      <c r="O60" s="41">
        <v>25</v>
      </c>
      <c r="P60" s="41">
        <v>11</v>
      </c>
      <c r="Q60" s="41">
        <v>15</v>
      </c>
      <c r="R60" s="41">
        <v>18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5"/>
      <c r="AU60" s="15"/>
      <c r="AV60" s="15"/>
      <c r="AW60" s="15"/>
      <c r="AX60" s="15"/>
      <c r="AY60" s="15"/>
      <c r="AZ60" s="15"/>
      <c r="BA60" s="15"/>
      <c r="BB60" s="15"/>
      <c r="BC60" s="16">
        <f t="shared" si="25"/>
        <v>69</v>
      </c>
      <c r="BD60" s="12" t="str">
        <f t="shared" si="26"/>
        <v>B+</v>
      </c>
    </row>
    <row r="61" spans="1:56" ht="15.75" customHeight="1" x14ac:dyDescent="0.3">
      <c r="A61" s="1">
        <v>34</v>
      </c>
      <c r="B61" s="29">
        <v>1118087</v>
      </c>
      <c r="C61" s="30" t="s">
        <v>71</v>
      </c>
      <c r="D61" s="13"/>
      <c r="E61" s="41">
        <v>6</v>
      </c>
      <c r="F61" s="41">
        <v>10</v>
      </c>
      <c r="G61" s="41">
        <v>10</v>
      </c>
      <c r="H61" s="41">
        <v>9</v>
      </c>
      <c r="I61" s="41">
        <v>10</v>
      </c>
      <c r="J61" s="41">
        <v>10</v>
      </c>
      <c r="K61" s="41">
        <v>20</v>
      </c>
      <c r="L61" s="41">
        <v>27</v>
      </c>
      <c r="M61" s="41">
        <v>17</v>
      </c>
      <c r="N61" s="41">
        <v>21</v>
      </c>
      <c r="O61" s="41">
        <v>24</v>
      </c>
      <c r="P61" s="41">
        <v>23</v>
      </c>
      <c r="Q61" s="41">
        <v>20</v>
      </c>
      <c r="R61" s="41">
        <v>10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5"/>
      <c r="AU61" s="15"/>
      <c r="AV61" s="15"/>
      <c r="AW61" s="15"/>
      <c r="AX61" s="15"/>
      <c r="AY61" s="15"/>
      <c r="AZ61" s="15"/>
      <c r="BA61" s="15"/>
      <c r="BB61" s="15"/>
      <c r="BC61" s="16">
        <f t="shared" si="25"/>
        <v>75</v>
      </c>
      <c r="BD61" s="12" t="str">
        <f t="shared" si="26"/>
        <v>A</v>
      </c>
    </row>
    <row r="62" spans="1:56" ht="15.75" customHeight="1" x14ac:dyDescent="0.3">
      <c r="A62" s="1">
        <v>35</v>
      </c>
      <c r="B62" s="29">
        <v>1118089</v>
      </c>
      <c r="C62" s="30" t="s">
        <v>72</v>
      </c>
      <c r="D62" s="13"/>
      <c r="E62" s="41">
        <v>6</v>
      </c>
      <c r="F62" s="41">
        <v>8</v>
      </c>
      <c r="G62" s="41">
        <v>6</v>
      </c>
      <c r="H62" s="41">
        <v>10</v>
      </c>
      <c r="I62" s="41">
        <v>10</v>
      </c>
      <c r="J62" s="41">
        <v>10</v>
      </c>
      <c r="K62" s="41">
        <v>15</v>
      </c>
      <c r="L62" s="41">
        <v>17</v>
      </c>
      <c r="M62" s="41">
        <v>10</v>
      </c>
      <c r="N62" s="41">
        <v>18</v>
      </c>
      <c r="O62" s="41">
        <v>25</v>
      </c>
      <c r="P62" s="41">
        <v>19</v>
      </c>
      <c r="Q62" s="41">
        <v>23</v>
      </c>
      <c r="R62" s="41">
        <v>22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5"/>
      <c r="AU62" s="15"/>
      <c r="AV62" s="15"/>
      <c r="AW62" s="15"/>
      <c r="AX62" s="15"/>
      <c r="AY62" s="15"/>
      <c r="AZ62" s="15"/>
      <c r="BA62" s="15"/>
      <c r="BB62" s="15"/>
      <c r="BC62" s="16">
        <f t="shared" si="25"/>
        <v>65</v>
      </c>
      <c r="BD62" s="12" t="str">
        <f t="shared" si="26"/>
        <v>B+</v>
      </c>
    </row>
    <row r="63" spans="1:56" ht="15.75" customHeight="1" x14ac:dyDescent="0.3">
      <c r="A63" s="1">
        <v>36</v>
      </c>
      <c r="B63" s="29">
        <v>1118090</v>
      </c>
      <c r="C63" s="30" t="s">
        <v>73</v>
      </c>
      <c r="D63" s="13"/>
      <c r="E63" s="41">
        <v>8</v>
      </c>
      <c r="F63" s="41">
        <v>9</v>
      </c>
      <c r="G63" s="41">
        <v>8</v>
      </c>
      <c r="H63" s="41">
        <v>10</v>
      </c>
      <c r="I63" s="41">
        <v>10</v>
      </c>
      <c r="J63" s="41">
        <v>10</v>
      </c>
      <c r="K63" s="41">
        <v>10</v>
      </c>
      <c r="L63" s="41">
        <v>27</v>
      </c>
      <c r="M63" s="41">
        <v>10</v>
      </c>
      <c r="N63" s="41">
        <v>18</v>
      </c>
      <c r="O63" s="41">
        <v>30</v>
      </c>
      <c r="P63" s="41">
        <v>20</v>
      </c>
      <c r="Q63" s="41">
        <v>30</v>
      </c>
      <c r="R63" s="41">
        <v>18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5"/>
      <c r="AU63" s="15"/>
      <c r="AV63" s="15"/>
      <c r="AW63" s="15"/>
      <c r="AX63" s="15"/>
      <c r="AY63" s="15"/>
      <c r="AZ63" s="15"/>
      <c r="BA63" s="15"/>
      <c r="BB63" s="15"/>
      <c r="BC63" s="16">
        <f t="shared" si="25"/>
        <v>65</v>
      </c>
      <c r="BD63" s="12" t="str">
        <f t="shared" si="26"/>
        <v>B+</v>
      </c>
    </row>
    <row r="64" spans="1:56" ht="15.75" customHeight="1" x14ac:dyDescent="0.3">
      <c r="A64" s="1">
        <v>37</v>
      </c>
      <c r="B64" s="29">
        <v>1118093</v>
      </c>
      <c r="C64" s="30" t="s">
        <v>74</v>
      </c>
      <c r="D64" s="13"/>
      <c r="E64" s="41">
        <v>8</v>
      </c>
      <c r="F64" s="41">
        <v>7</v>
      </c>
      <c r="G64" s="41">
        <v>10</v>
      </c>
      <c r="H64" s="41">
        <v>10</v>
      </c>
      <c r="I64" s="41">
        <v>10</v>
      </c>
      <c r="J64" s="41">
        <v>10</v>
      </c>
      <c r="K64" s="41">
        <v>13</v>
      </c>
      <c r="L64" s="41">
        <v>30</v>
      </c>
      <c r="M64" s="41">
        <v>7</v>
      </c>
      <c r="N64" s="41">
        <v>23</v>
      </c>
      <c r="O64" s="41">
        <v>30</v>
      </c>
      <c r="P64" s="41">
        <v>30</v>
      </c>
      <c r="Q64" s="41">
        <v>25</v>
      </c>
      <c r="R64" s="41">
        <v>26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5"/>
      <c r="AU64" s="15"/>
      <c r="AV64" s="15"/>
      <c r="AW64" s="15"/>
      <c r="AX64" s="15"/>
      <c r="AY64" s="15"/>
      <c r="AZ64" s="15"/>
      <c r="BA64" s="15"/>
      <c r="BB64" s="15"/>
      <c r="BC64" s="16">
        <f t="shared" si="25"/>
        <v>68</v>
      </c>
      <c r="BD64" s="12" t="str">
        <f t="shared" si="26"/>
        <v>B+</v>
      </c>
    </row>
    <row r="65" spans="1:56" ht="15.75" customHeight="1" x14ac:dyDescent="0.3">
      <c r="A65" s="1">
        <v>38</v>
      </c>
      <c r="B65" s="29">
        <v>1118097</v>
      </c>
      <c r="C65" s="30" t="s">
        <v>75</v>
      </c>
      <c r="D65" s="13"/>
      <c r="E65" s="41">
        <v>5</v>
      </c>
      <c r="F65" s="41">
        <v>8</v>
      </c>
      <c r="G65" s="41">
        <v>10</v>
      </c>
      <c r="H65" s="41">
        <v>8</v>
      </c>
      <c r="I65" s="41">
        <v>10</v>
      </c>
      <c r="J65" s="41">
        <v>10</v>
      </c>
      <c r="K65" s="41">
        <v>30</v>
      </c>
      <c r="L65" s="41">
        <v>19</v>
      </c>
      <c r="M65" s="41">
        <v>14</v>
      </c>
      <c r="N65" s="41">
        <v>12</v>
      </c>
      <c r="O65" s="41">
        <v>30</v>
      </c>
      <c r="P65" s="41">
        <v>26</v>
      </c>
      <c r="Q65" s="41">
        <v>22</v>
      </c>
      <c r="R65" s="41">
        <v>23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5"/>
      <c r="AU65" s="15"/>
      <c r="AV65" s="15"/>
      <c r="AW65" s="15"/>
      <c r="AX65" s="15"/>
      <c r="AY65" s="15"/>
      <c r="AZ65" s="15"/>
      <c r="BA65" s="15"/>
      <c r="BB65" s="15"/>
      <c r="BC65" s="16">
        <f t="shared" si="25"/>
        <v>81</v>
      </c>
      <c r="BD65" s="12" t="str">
        <f t="shared" si="26"/>
        <v>A+</v>
      </c>
    </row>
    <row r="66" spans="1:56" ht="15.75" customHeight="1" x14ac:dyDescent="0.3">
      <c r="A66" s="1">
        <v>39</v>
      </c>
      <c r="B66" s="29">
        <v>1118098</v>
      </c>
      <c r="C66" s="30" t="s">
        <v>76</v>
      </c>
      <c r="D66" s="13"/>
      <c r="E66" s="41">
        <v>2</v>
      </c>
      <c r="F66" s="41">
        <v>10</v>
      </c>
      <c r="G66" s="41">
        <v>10</v>
      </c>
      <c r="H66" s="41">
        <v>10</v>
      </c>
      <c r="I66" s="41">
        <v>10</v>
      </c>
      <c r="J66" s="41">
        <v>10</v>
      </c>
      <c r="K66" s="41">
        <v>26</v>
      </c>
      <c r="L66" s="41">
        <v>20</v>
      </c>
      <c r="M66" s="41">
        <v>18</v>
      </c>
      <c r="N66" s="41">
        <v>16</v>
      </c>
      <c r="O66" s="41">
        <v>30</v>
      </c>
      <c r="P66" s="41">
        <v>17</v>
      </c>
      <c r="Q66" s="41">
        <v>25</v>
      </c>
      <c r="R66" s="41">
        <v>20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5"/>
      <c r="AU66" s="15"/>
      <c r="AV66" s="15"/>
      <c r="AW66" s="15"/>
      <c r="AX66" s="15"/>
      <c r="AY66" s="15"/>
      <c r="AZ66" s="15"/>
      <c r="BA66" s="15"/>
      <c r="BB66" s="15"/>
      <c r="BC66" s="16">
        <f t="shared" si="25"/>
        <v>78</v>
      </c>
      <c r="BD66" s="12" t="str">
        <f t="shared" si="26"/>
        <v>A</v>
      </c>
    </row>
    <row r="67" spans="1:56" ht="15.75" customHeight="1" x14ac:dyDescent="0.3">
      <c r="A67" s="1">
        <v>40</v>
      </c>
      <c r="B67" s="29">
        <v>1118099</v>
      </c>
      <c r="C67" s="30" t="s">
        <v>77</v>
      </c>
      <c r="D67" s="13"/>
      <c r="E67" s="41">
        <v>6</v>
      </c>
      <c r="F67" s="41">
        <v>8</v>
      </c>
      <c r="G67" s="41">
        <v>10</v>
      </c>
      <c r="H67" s="41">
        <v>9</v>
      </c>
      <c r="I67" s="41">
        <v>10</v>
      </c>
      <c r="J67" s="41">
        <v>10</v>
      </c>
      <c r="K67" s="41">
        <v>18</v>
      </c>
      <c r="L67" s="41">
        <v>24</v>
      </c>
      <c r="M67" s="41">
        <v>16</v>
      </c>
      <c r="N67" s="41">
        <v>16</v>
      </c>
      <c r="O67" s="41">
        <v>22</v>
      </c>
      <c r="P67" s="41">
        <v>16</v>
      </c>
      <c r="Q67" s="41">
        <v>25</v>
      </c>
      <c r="R67" s="41">
        <v>22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5"/>
      <c r="AU67" s="15"/>
      <c r="AV67" s="15"/>
      <c r="AW67" s="15"/>
      <c r="AX67" s="15"/>
      <c r="AY67" s="15"/>
      <c r="AZ67" s="15"/>
      <c r="BA67" s="15"/>
      <c r="BB67" s="15"/>
      <c r="BC67" s="16">
        <f t="shared" si="25"/>
        <v>71</v>
      </c>
      <c r="BD67" s="12" t="str">
        <f t="shared" si="26"/>
        <v>A-</v>
      </c>
    </row>
    <row r="68" spans="1:56" ht="15.75" customHeight="1" x14ac:dyDescent="0.3">
      <c r="A68" s="1">
        <v>41</v>
      </c>
      <c r="B68" s="29">
        <v>1118101</v>
      </c>
      <c r="C68" s="30" t="s">
        <v>78</v>
      </c>
      <c r="D68" s="13"/>
      <c r="E68" s="41">
        <v>6</v>
      </c>
      <c r="F68" s="41">
        <v>9</v>
      </c>
      <c r="G68" s="41">
        <v>8</v>
      </c>
      <c r="H68" s="41">
        <v>9</v>
      </c>
      <c r="I68" s="41">
        <v>10</v>
      </c>
      <c r="J68" s="41">
        <v>10</v>
      </c>
      <c r="K68" s="41">
        <v>20</v>
      </c>
      <c r="L68" s="41">
        <v>30</v>
      </c>
      <c r="M68" s="41">
        <v>12</v>
      </c>
      <c r="N68" s="41">
        <v>0</v>
      </c>
      <c r="O68" s="41">
        <v>20</v>
      </c>
      <c r="P68" s="41">
        <v>20</v>
      </c>
      <c r="Q68" s="41">
        <v>22</v>
      </c>
      <c r="R68" s="41">
        <v>18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5"/>
      <c r="AU68" s="15"/>
      <c r="AV68" s="15"/>
      <c r="AW68" s="15"/>
      <c r="AX68" s="15"/>
      <c r="AY68" s="15"/>
      <c r="AZ68" s="15"/>
      <c r="BA68" s="15"/>
      <c r="BB68" s="15"/>
      <c r="BC68" s="16">
        <f t="shared" si="25"/>
        <v>72</v>
      </c>
      <c r="BD68" s="12" t="str">
        <f t="shared" si="26"/>
        <v>A-</v>
      </c>
    </row>
    <row r="69" spans="1:56" ht="15.75" customHeight="1" x14ac:dyDescent="0.3">
      <c r="A69" s="1">
        <v>42</v>
      </c>
      <c r="B69" s="29">
        <v>1118102</v>
      </c>
      <c r="C69" s="30" t="s">
        <v>79</v>
      </c>
      <c r="D69" s="13"/>
      <c r="E69" s="41">
        <v>8</v>
      </c>
      <c r="F69" s="41">
        <v>7</v>
      </c>
      <c r="G69" s="41">
        <v>8</v>
      </c>
      <c r="H69" s="41">
        <v>8</v>
      </c>
      <c r="I69" s="41">
        <v>10</v>
      </c>
      <c r="J69" s="41">
        <v>10</v>
      </c>
      <c r="K69" s="41">
        <v>10</v>
      </c>
      <c r="L69" s="41">
        <v>21</v>
      </c>
      <c r="M69" s="41">
        <v>15</v>
      </c>
      <c r="N69" s="41">
        <v>0</v>
      </c>
      <c r="O69" s="41">
        <v>23</v>
      </c>
      <c r="P69" s="41">
        <v>10</v>
      </c>
      <c r="Q69" s="41">
        <v>15</v>
      </c>
      <c r="R69" s="41">
        <v>10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5"/>
      <c r="AU69" s="15"/>
      <c r="AV69" s="15"/>
      <c r="AW69" s="15"/>
      <c r="AX69" s="15"/>
      <c r="AY69" s="15"/>
      <c r="AZ69" s="15"/>
      <c r="BA69" s="15"/>
      <c r="BB69" s="15"/>
      <c r="BC69" s="16">
        <f t="shared" si="25"/>
        <v>61</v>
      </c>
      <c r="BD69" s="12" t="str">
        <f t="shared" si="26"/>
        <v>B</v>
      </c>
    </row>
    <row r="70" spans="1:56" ht="15.75" customHeight="1" x14ac:dyDescent="0.3">
      <c r="A70" s="1">
        <v>43</v>
      </c>
      <c r="B70" s="29">
        <v>1118104</v>
      </c>
      <c r="C70" s="30" t="s">
        <v>80</v>
      </c>
      <c r="D70" s="13"/>
      <c r="E70" s="41">
        <v>8</v>
      </c>
      <c r="F70" s="41">
        <v>9</v>
      </c>
      <c r="G70" s="41">
        <v>10</v>
      </c>
      <c r="H70" s="41">
        <v>9</v>
      </c>
      <c r="I70" s="41">
        <v>10</v>
      </c>
      <c r="J70" s="41">
        <v>10</v>
      </c>
      <c r="K70" s="41">
        <v>9</v>
      </c>
      <c r="L70" s="41">
        <v>26</v>
      </c>
      <c r="M70" s="41">
        <v>12</v>
      </c>
      <c r="N70" s="41">
        <v>16</v>
      </c>
      <c r="O70" s="41">
        <v>30</v>
      </c>
      <c r="P70" s="41">
        <v>21</v>
      </c>
      <c r="Q70" s="41">
        <v>10</v>
      </c>
      <c r="R70" s="41">
        <v>15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5"/>
      <c r="AU70" s="15"/>
      <c r="AV70" s="15"/>
      <c r="AW70" s="15"/>
      <c r="AX70" s="15"/>
      <c r="AY70" s="15"/>
      <c r="AZ70" s="15"/>
      <c r="BA70" s="15"/>
      <c r="BB70" s="15"/>
      <c r="BC70" s="16">
        <f t="shared" si="25"/>
        <v>65</v>
      </c>
      <c r="BD70" s="12" t="str">
        <f t="shared" si="26"/>
        <v>B+</v>
      </c>
    </row>
    <row r="71" spans="1:56" ht="15.75" customHeight="1" x14ac:dyDescent="0.3">
      <c r="A71" s="1">
        <v>44</v>
      </c>
      <c r="B71" s="21"/>
      <c r="C71" s="24"/>
      <c r="D71" s="13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5"/>
      <c r="AU71" s="15"/>
      <c r="AV71" s="15"/>
      <c r="AW71" s="15"/>
      <c r="AX71" s="15"/>
      <c r="AY71" s="15"/>
      <c r="AZ71" s="15"/>
      <c r="BA71" s="15"/>
      <c r="BB71" s="15"/>
      <c r="BC71" s="16">
        <f t="shared" si="25"/>
        <v>0</v>
      </c>
      <c r="BD71" s="12" t="str">
        <f t="shared" si="26"/>
        <v>F</v>
      </c>
    </row>
    <row r="72" spans="1:56" ht="15.75" customHeight="1" x14ac:dyDescent="0.3">
      <c r="A72" s="1">
        <v>45</v>
      </c>
      <c r="B72" s="21"/>
      <c r="C72" s="24"/>
      <c r="D72" s="13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5"/>
      <c r="AU72" s="15"/>
      <c r="AV72" s="15"/>
      <c r="AW72" s="15"/>
      <c r="AX72" s="15"/>
      <c r="AY72" s="15"/>
      <c r="AZ72" s="15"/>
      <c r="BA72" s="15"/>
      <c r="BB72" s="15"/>
      <c r="BC72" s="16">
        <f t="shared" si="25"/>
        <v>0</v>
      </c>
      <c r="BD72" s="12" t="str">
        <f t="shared" si="26"/>
        <v>F</v>
      </c>
    </row>
    <row r="73" spans="1:56" ht="15.75" customHeight="1" x14ac:dyDescent="0.3">
      <c r="A73" s="1">
        <v>46</v>
      </c>
      <c r="B73" s="21"/>
      <c r="C73" s="24"/>
      <c r="D73" s="13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5"/>
      <c r="AU73" s="15"/>
      <c r="AV73" s="15"/>
      <c r="AW73" s="15"/>
      <c r="AX73" s="15"/>
      <c r="AY73" s="15"/>
      <c r="AZ73" s="15"/>
      <c r="BA73" s="15"/>
      <c r="BB73" s="15"/>
      <c r="BC73" s="16">
        <f t="shared" si="25"/>
        <v>0</v>
      </c>
      <c r="BD73" s="12" t="str">
        <f t="shared" si="26"/>
        <v>F</v>
      </c>
    </row>
    <row r="74" spans="1:56" ht="15.75" customHeight="1" x14ac:dyDescent="0.3">
      <c r="A74" s="1">
        <v>47</v>
      </c>
      <c r="B74" s="21"/>
      <c r="C74" s="24"/>
      <c r="D74" s="13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5"/>
      <c r="AU74" s="15"/>
      <c r="AV74" s="15"/>
      <c r="AW74" s="15"/>
      <c r="AX74" s="15"/>
      <c r="AY74" s="15"/>
      <c r="AZ74" s="15"/>
      <c r="BA74" s="15"/>
      <c r="BB74" s="15"/>
      <c r="BC74" s="16">
        <f t="shared" si="25"/>
        <v>0</v>
      </c>
      <c r="BD74" s="12" t="str">
        <f t="shared" si="26"/>
        <v>F</v>
      </c>
    </row>
    <row r="75" spans="1:56" ht="15.75" customHeight="1" x14ac:dyDescent="0.3">
      <c r="A75" s="1">
        <v>48</v>
      </c>
      <c r="B75" s="21"/>
      <c r="C75" s="24"/>
      <c r="D75" s="13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5"/>
      <c r="AU75" s="15"/>
      <c r="AV75" s="15"/>
      <c r="AW75" s="15"/>
      <c r="AX75" s="15"/>
      <c r="AY75" s="15"/>
      <c r="AZ75" s="15"/>
      <c r="BA75" s="15"/>
      <c r="BB75" s="15"/>
      <c r="BC75" s="16">
        <f t="shared" si="25"/>
        <v>0</v>
      </c>
      <c r="BD75" s="12" t="str">
        <f t="shared" si="26"/>
        <v>F</v>
      </c>
    </row>
    <row r="76" spans="1:56" ht="15.75" customHeight="1" x14ac:dyDescent="0.3">
      <c r="A76" s="1">
        <v>49</v>
      </c>
      <c r="B76" s="21"/>
      <c r="C76" s="24"/>
      <c r="D76" s="13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5"/>
      <c r="AU76" s="15"/>
      <c r="AV76" s="15"/>
      <c r="AW76" s="15"/>
      <c r="AX76" s="15"/>
      <c r="AY76" s="15"/>
      <c r="AZ76" s="15"/>
      <c r="BA76" s="15"/>
      <c r="BB76" s="15"/>
      <c r="BC76" s="16">
        <f t="shared" si="25"/>
        <v>0</v>
      </c>
      <c r="BD76" s="12" t="str">
        <f t="shared" si="26"/>
        <v>F</v>
      </c>
    </row>
    <row r="77" spans="1:56" ht="15.75" customHeight="1" x14ac:dyDescent="0.3">
      <c r="A77" s="1">
        <v>50</v>
      </c>
      <c r="B77" s="21"/>
      <c r="C77" s="24"/>
      <c r="D77" s="13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5"/>
      <c r="AU77" s="15"/>
      <c r="AV77" s="15"/>
      <c r="AW77" s="15"/>
      <c r="AX77" s="15"/>
      <c r="AY77" s="15"/>
      <c r="AZ77" s="15"/>
      <c r="BA77" s="15"/>
      <c r="BB77" s="15"/>
      <c r="BC77" s="16">
        <f t="shared" si="25"/>
        <v>0</v>
      </c>
      <c r="BD77" s="12" t="str">
        <f t="shared" si="26"/>
        <v>F</v>
      </c>
    </row>
    <row r="78" spans="1:56" ht="15.75" customHeight="1" x14ac:dyDescent="0.3">
      <c r="A78" s="1">
        <v>51</v>
      </c>
      <c r="B78" s="21"/>
      <c r="C78" s="24"/>
      <c r="D78" s="13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6">
        <f t="shared" si="25"/>
        <v>0</v>
      </c>
      <c r="BD78" s="12" t="str">
        <f t="shared" si="26"/>
        <v>F</v>
      </c>
    </row>
    <row r="79" spans="1:56" ht="15.75" customHeight="1" x14ac:dyDescent="0.3">
      <c r="A79" s="1">
        <v>52</v>
      </c>
      <c r="B79" s="17"/>
      <c r="C79" s="24"/>
      <c r="D79" s="13"/>
      <c r="E79" s="15"/>
      <c r="F79" s="14"/>
      <c r="G79" s="15"/>
      <c r="H79" s="14"/>
      <c r="I79" s="15"/>
      <c r="J79" s="14"/>
      <c r="K79" s="14"/>
      <c r="L79" s="14"/>
      <c r="M79" s="15"/>
      <c r="N79" s="15"/>
      <c r="O79" s="15"/>
      <c r="P79" s="15"/>
      <c r="Q79" s="14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6">
        <f t="shared" si="25"/>
        <v>0</v>
      </c>
      <c r="BD79" s="12" t="str">
        <f t="shared" si="26"/>
        <v>F</v>
      </c>
    </row>
    <row r="80" spans="1:56" ht="15.75" customHeight="1" x14ac:dyDescent="0.3">
      <c r="A80" s="1">
        <v>53</v>
      </c>
      <c r="B80" s="17"/>
      <c r="C80" s="24"/>
      <c r="D80" s="13"/>
      <c r="E80" s="15"/>
      <c r="F80" s="15"/>
      <c r="G80" s="15"/>
      <c r="H80" s="14"/>
      <c r="I80" s="15"/>
      <c r="J80" s="14"/>
      <c r="K80" s="14"/>
      <c r="L80" s="14"/>
      <c r="M80" s="15"/>
      <c r="N80" s="15"/>
      <c r="O80" s="15"/>
      <c r="P80" s="15"/>
      <c r="Q80" s="14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6">
        <f t="shared" si="25"/>
        <v>0</v>
      </c>
      <c r="BD80" s="12" t="str">
        <f t="shared" si="26"/>
        <v>F</v>
      </c>
    </row>
    <row r="81" spans="1:56" ht="15.75" customHeight="1" x14ac:dyDescent="0.3">
      <c r="A81" s="1">
        <v>54</v>
      </c>
      <c r="B81" s="17"/>
      <c r="C81" s="24"/>
      <c r="D81" s="13"/>
      <c r="E81" s="15"/>
      <c r="F81" s="15"/>
      <c r="G81" s="15"/>
      <c r="H81" s="14"/>
      <c r="I81" s="15"/>
      <c r="J81" s="14"/>
      <c r="K81" s="14"/>
      <c r="L81" s="14"/>
      <c r="M81" s="15"/>
      <c r="N81" s="15"/>
      <c r="O81" s="15"/>
      <c r="P81" s="15"/>
      <c r="Q81" s="14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6">
        <f t="shared" si="25"/>
        <v>0</v>
      </c>
      <c r="BD81" s="12" t="str">
        <f t="shared" si="26"/>
        <v>F</v>
      </c>
    </row>
    <row r="82" spans="1:56" ht="15.75" customHeight="1" x14ac:dyDescent="0.3">
      <c r="A82" s="1">
        <v>55</v>
      </c>
      <c r="B82" s="17"/>
      <c r="C82" s="24"/>
      <c r="D82" s="13"/>
      <c r="E82" s="15"/>
      <c r="F82" s="15"/>
      <c r="G82" s="15"/>
      <c r="H82" s="14"/>
      <c r="I82" s="15"/>
      <c r="J82" s="14"/>
      <c r="K82" s="14"/>
      <c r="L82" s="14"/>
      <c r="M82" s="15"/>
      <c r="N82" s="15"/>
      <c r="O82" s="15"/>
      <c r="P82" s="15"/>
      <c r="Q82" s="14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6">
        <f t="shared" si="25"/>
        <v>0</v>
      </c>
      <c r="BD82" s="12" t="str">
        <f t="shared" si="26"/>
        <v>F</v>
      </c>
    </row>
    <row r="83" spans="1:56" ht="15.75" customHeight="1" x14ac:dyDescent="0.3">
      <c r="A83" s="1">
        <v>56</v>
      </c>
      <c r="B83" s="17"/>
      <c r="C83" s="24"/>
      <c r="D83" s="13"/>
      <c r="E83" s="15"/>
      <c r="F83" s="15"/>
      <c r="G83" s="15"/>
      <c r="H83" s="14"/>
      <c r="I83" s="15"/>
      <c r="J83" s="14"/>
      <c r="K83" s="14"/>
      <c r="L83" s="14"/>
      <c r="M83" s="15"/>
      <c r="N83" s="15"/>
      <c r="O83" s="15"/>
      <c r="P83" s="15"/>
      <c r="Q83" s="14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6">
        <f t="shared" si="25"/>
        <v>0</v>
      </c>
      <c r="BD83" s="12" t="str">
        <f t="shared" si="26"/>
        <v>F</v>
      </c>
    </row>
    <row r="84" spans="1:56" ht="15.75" customHeight="1" x14ac:dyDescent="0.3">
      <c r="A84" s="1">
        <v>57</v>
      </c>
      <c r="B84" s="17"/>
      <c r="C84" s="24"/>
      <c r="D84" s="13"/>
      <c r="E84" s="15"/>
      <c r="F84" s="15"/>
      <c r="G84" s="15"/>
      <c r="H84" s="14"/>
      <c r="I84" s="15"/>
      <c r="J84" s="14"/>
      <c r="K84" s="14"/>
      <c r="L84" s="14"/>
      <c r="M84" s="15"/>
      <c r="N84" s="15"/>
      <c r="O84" s="15"/>
      <c r="P84" s="15"/>
      <c r="Q84" s="14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6">
        <f t="shared" si="25"/>
        <v>0</v>
      </c>
      <c r="BD84" s="12" t="str">
        <f t="shared" si="26"/>
        <v>F</v>
      </c>
    </row>
    <row r="85" spans="1:56" ht="15.75" customHeight="1" x14ac:dyDescent="0.3">
      <c r="A85" s="1">
        <v>58</v>
      </c>
      <c r="B85" s="17"/>
      <c r="C85" s="24"/>
      <c r="D85" s="13"/>
      <c r="E85" s="15"/>
      <c r="F85" s="15"/>
      <c r="G85" s="15"/>
      <c r="H85" s="14"/>
      <c r="I85" s="15"/>
      <c r="J85" s="14"/>
      <c r="K85" s="14"/>
      <c r="L85" s="14"/>
      <c r="M85" s="15"/>
      <c r="N85" s="15"/>
      <c r="O85" s="15"/>
      <c r="P85" s="15"/>
      <c r="Q85" s="14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6">
        <f t="shared" si="25"/>
        <v>0</v>
      </c>
      <c r="BD85" s="12" t="str">
        <f t="shared" si="26"/>
        <v>F</v>
      </c>
    </row>
    <row r="86" spans="1:56" ht="15.75" customHeight="1" x14ac:dyDescent="0.3">
      <c r="A86" s="1">
        <v>59</v>
      </c>
      <c r="B86" s="17"/>
      <c r="C86" s="24"/>
      <c r="D86" s="13"/>
      <c r="E86" s="15"/>
      <c r="F86" s="15"/>
      <c r="G86" s="15"/>
      <c r="H86" s="14"/>
      <c r="I86" s="15"/>
      <c r="J86" s="14"/>
      <c r="K86" s="14"/>
      <c r="L86" s="14"/>
      <c r="M86" s="15"/>
      <c r="N86" s="15"/>
      <c r="O86" s="15"/>
      <c r="P86" s="15"/>
      <c r="Q86" s="14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6">
        <f t="shared" si="25"/>
        <v>0</v>
      </c>
      <c r="BD86" s="12" t="str">
        <f t="shared" si="26"/>
        <v>F</v>
      </c>
    </row>
    <row r="87" spans="1:56" ht="15.75" customHeight="1" x14ac:dyDescent="0.3">
      <c r="A87" s="1">
        <v>60</v>
      </c>
      <c r="B87" s="17"/>
      <c r="C87" s="24"/>
      <c r="D87" s="13"/>
      <c r="E87" s="15"/>
      <c r="F87" s="15"/>
      <c r="G87" s="15"/>
      <c r="H87" s="14"/>
      <c r="I87" s="15"/>
      <c r="J87" s="14"/>
      <c r="K87" s="14"/>
      <c r="L87" s="14"/>
      <c r="M87" s="15"/>
      <c r="N87" s="15"/>
      <c r="O87" s="15"/>
      <c r="P87" s="15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6">
        <f t="shared" si="25"/>
        <v>0</v>
      </c>
      <c r="BD87" s="12" t="str">
        <f t="shared" si="26"/>
        <v>F</v>
      </c>
    </row>
    <row r="88" spans="1:56" ht="15.75" customHeight="1" x14ac:dyDescent="0.3">
      <c r="A88" s="1">
        <v>61</v>
      </c>
      <c r="B88" s="17"/>
      <c r="C88" s="24"/>
      <c r="D88" s="13"/>
      <c r="E88" s="15"/>
      <c r="F88" s="15"/>
      <c r="G88" s="15"/>
      <c r="H88" s="14"/>
      <c r="I88" s="15"/>
      <c r="J88" s="14"/>
      <c r="K88" s="14"/>
      <c r="L88" s="14"/>
      <c r="M88" s="15"/>
      <c r="N88" s="15"/>
      <c r="O88" s="15"/>
      <c r="P88" s="15"/>
      <c r="Q88" s="14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6">
        <f t="shared" si="25"/>
        <v>0</v>
      </c>
      <c r="BD88" s="12" t="str">
        <f t="shared" si="26"/>
        <v>F</v>
      </c>
    </row>
    <row r="89" spans="1:56" ht="15.75" customHeight="1" x14ac:dyDescent="0.3">
      <c r="A89" s="1">
        <v>62</v>
      </c>
      <c r="B89" s="17"/>
      <c r="C89" s="24"/>
      <c r="D89" s="13"/>
      <c r="E89" s="15"/>
      <c r="F89" s="15"/>
      <c r="G89" s="15"/>
      <c r="H89" s="14"/>
      <c r="I89" s="15"/>
      <c r="J89" s="14"/>
      <c r="K89" s="14"/>
      <c r="L89" s="14"/>
      <c r="M89" s="15"/>
      <c r="N89" s="15"/>
      <c r="O89" s="15"/>
      <c r="P89" s="15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6">
        <f t="shared" si="25"/>
        <v>0</v>
      </c>
      <c r="BD89" s="12" t="str">
        <f t="shared" si="26"/>
        <v>F</v>
      </c>
    </row>
    <row r="90" spans="1:56" ht="15.75" customHeight="1" x14ac:dyDescent="0.3">
      <c r="A90" s="1">
        <v>63</v>
      </c>
      <c r="B90" s="17"/>
      <c r="C90" s="24"/>
      <c r="D90" s="13"/>
      <c r="E90" s="15"/>
      <c r="F90" s="15"/>
      <c r="G90" s="15"/>
      <c r="H90" s="14"/>
      <c r="I90" s="15"/>
      <c r="J90" s="14"/>
      <c r="K90" s="14"/>
      <c r="L90" s="1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6">
        <f t="shared" si="25"/>
        <v>0</v>
      </c>
      <c r="BD90" s="12" t="s">
        <v>28</v>
      </c>
    </row>
    <row r="91" spans="1:56" ht="15.75" customHeight="1" x14ac:dyDescent="0.3">
      <c r="A91" s="1">
        <v>64</v>
      </c>
      <c r="B91" s="17"/>
      <c r="C91" s="24"/>
      <c r="D91" s="13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6">
        <f t="shared" si="25"/>
        <v>0</v>
      </c>
    </row>
    <row r="92" spans="1:56" ht="15.75" customHeight="1" x14ac:dyDescent="0.3">
      <c r="A92" s="1">
        <v>65</v>
      </c>
      <c r="B92" s="17"/>
      <c r="C92" s="24"/>
      <c r="D92" s="13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6">
        <f t="shared" si="25"/>
        <v>0</v>
      </c>
    </row>
    <row r="93" spans="1:56" ht="15.75" customHeight="1" x14ac:dyDescent="0.3">
      <c r="A93" s="1">
        <v>66</v>
      </c>
      <c r="B93" s="17"/>
      <c r="C93" s="24"/>
      <c r="D93" s="13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6">
        <f t="shared" si="25"/>
        <v>0</v>
      </c>
    </row>
    <row r="94" spans="1:56" ht="15.75" customHeight="1" x14ac:dyDescent="0.3">
      <c r="A94" s="1">
        <v>67</v>
      </c>
      <c r="B94" s="17"/>
      <c r="C94" s="24"/>
      <c r="D94" s="13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6">
        <f t="shared" si="25"/>
        <v>0</v>
      </c>
    </row>
    <row r="95" spans="1:56" ht="15.75" customHeight="1" x14ac:dyDescent="0.3">
      <c r="A95" s="1">
        <v>68</v>
      </c>
      <c r="B95" s="17"/>
      <c r="C95" s="24"/>
      <c r="D95" s="13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6">
        <f t="shared" si="25"/>
        <v>0</v>
      </c>
    </row>
    <row r="96" spans="1:56" ht="15.75" customHeight="1" x14ac:dyDescent="0.3">
      <c r="A96" s="1">
        <v>69</v>
      </c>
      <c r="B96" s="17"/>
      <c r="C96" s="24"/>
      <c r="D96" s="13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6">
        <f t="shared" si="25"/>
        <v>0</v>
      </c>
    </row>
    <row r="97" spans="1:55" ht="15.75" customHeight="1" x14ac:dyDescent="0.3">
      <c r="A97" s="1">
        <v>70</v>
      </c>
      <c r="B97" s="17"/>
      <c r="C97" s="24"/>
      <c r="D97" s="13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6">
        <f t="shared" si="25"/>
        <v>0</v>
      </c>
    </row>
    <row r="98" spans="1:55" ht="15.75" customHeight="1" x14ac:dyDescent="0.3">
      <c r="A98" s="1">
        <v>71</v>
      </c>
      <c r="B98" s="17"/>
      <c r="C98" s="24"/>
      <c r="D98" s="13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6">
        <f t="shared" si="25"/>
        <v>0</v>
      </c>
    </row>
    <row r="99" spans="1:55" ht="15.75" customHeight="1" x14ac:dyDescent="0.3">
      <c r="A99" s="1">
        <v>72</v>
      </c>
      <c r="B99" s="17"/>
      <c r="C99" s="24"/>
      <c r="D99" s="13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6">
        <f t="shared" si="25"/>
        <v>0</v>
      </c>
    </row>
    <row r="100" spans="1:55" ht="15.75" customHeight="1" x14ac:dyDescent="0.3">
      <c r="A100" s="1">
        <v>73</v>
      </c>
      <c r="B100" s="17"/>
      <c r="C100" s="24"/>
      <c r="D100" s="13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6">
        <f t="shared" si="25"/>
        <v>0</v>
      </c>
    </row>
    <row r="101" spans="1:55" ht="15.75" customHeight="1" x14ac:dyDescent="0.3">
      <c r="A101" s="1">
        <v>74</v>
      </c>
      <c r="B101" s="17"/>
      <c r="C101" s="24"/>
      <c r="D101" s="13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6">
        <f t="shared" si="25"/>
        <v>0</v>
      </c>
    </row>
    <row r="102" spans="1:55" ht="15.75" customHeight="1" x14ac:dyDescent="0.3">
      <c r="A102" s="1">
        <v>75</v>
      </c>
      <c r="B102" s="17"/>
      <c r="C102" s="24"/>
      <c r="D102" s="13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6">
        <f t="shared" si="25"/>
        <v>0</v>
      </c>
    </row>
    <row r="103" spans="1:55" ht="15.75" customHeight="1" x14ac:dyDescent="0.3">
      <c r="A103" s="1">
        <v>76</v>
      </c>
      <c r="B103" s="17"/>
      <c r="C103" s="24"/>
      <c r="D103" s="13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6">
        <f t="shared" si="25"/>
        <v>0</v>
      </c>
    </row>
    <row r="104" spans="1:55" ht="15.75" customHeight="1" x14ac:dyDescent="0.3">
      <c r="A104" s="1">
        <v>77</v>
      </c>
      <c r="B104" s="17"/>
      <c r="C104" s="24"/>
      <c r="D104" s="13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6">
        <f t="shared" si="25"/>
        <v>0</v>
      </c>
    </row>
    <row r="105" spans="1:55" ht="15.75" customHeight="1" x14ac:dyDescent="0.3">
      <c r="A105" s="1">
        <v>78</v>
      </c>
      <c r="B105" s="17"/>
      <c r="C105" s="24"/>
      <c r="D105" s="13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6">
        <f t="shared" si="25"/>
        <v>0</v>
      </c>
    </row>
    <row r="106" spans="1:55" ht="15.75" customHeight="1" x14ac:dyDescent="0.3">
      <c r="A106" s="1">
        <v>79</v>
      </c>
      <c r="B106" s="17"/>
      <c r="C106" s="24"/>
      <c r="D106" s="13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6">
        <f t="shared" si="25"/>
        <v>0</v>
      </c>
    </row>
    <row r="107" spans="1:55" ht="15.75" customHeight="1" x14ac:dyDescent="0.3">
      <c r="A107" s="1">
        <v>80</v>
      </c>
      <c r="B107" s="17"/>
      <c r="C107" s="24"/>
      <c r="D107" s="13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6">
        <f t="shared" si="25"/>
        <v>0</v>
      </c>
    </row>
    <row r="108" spans="1:55" ht="15.75" customHeight="1" x14ac:dyDescent="0.3">
      <c r="A108" s="1">
        <v>81</v>
      </c>
      <c r="B108" s="17"/>
      <c r="C108" s="24"/>
      <c r="D108" s="13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6">
        <f t="shared" si="25"/>
        <v>0</v>
      </c>
    </row>
    <row r="109" spans="1:55" ht="15.75" customHeight="1" x14ac:dyDescent="0.3">
      <c r="A109" s="1">
        <v>82</v>
      </c>
      <c r="B109" s="17"/>
      <c r="C109" s="24"/>
      <c r="D109" s="13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6">
        <f t="shared" si="25"/>
        <v>0</v>
      </c>
    </row>
    <row r="110" spans="1:55" ht="15.75" customHeight="1" x14ac:dyDescent="0.3">
      <c r="A110" s="1">
        <v>83</v>
      </c>
      <c r="B110" s="17"/>
      <c r="C110" s="24"/>
      <c r="D110" s="13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6">
        <f t="shared" si="25"/>
        <v>0</v>
      </c>
    </row>
    <row r="111" spans="1:55" ht="15.75" customHeight="1" x14ac:dyDescent="0.3">
      <c r="A111" s="1">
        <v>84</v>
      </c>
      <c r="B111" s="17"/>
      <c r="C111" s="24"/>
      <c r="D111" s="13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6">
        <f t="shared" si="25"/>
        <v>0</v>
      </c>
    </row>
    <row r="112" spans="1:55" ht="15.75" customHeight="1" x14ac:dyDescent="0.3">
      <c r="A112" s="1">
        <v>85</v>
      </c>
      <c r="B112" s="17"/>
      <c r="C112" s="24"/>
      <c r="D112" s="13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6">
        <f t="shared" si="25"/>
        <v>0</v>
      </c>
    </row>
    <row r="113" spans="1:55" ht="15.75" customHeight="1" x14ac:dyDescent="0.3">
      <c r="A113" s="1">
        <v>86</v>
      </c>
      <c r="B113" s="17"/>
      <c r="C113" s="24"/>
      <c r="D113" s="13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6">
        <f t="shared" si="25"/>
        <v>0</v>
      </c>
    </row>
    <row r="114" spans="1:55" ht="15.75" customHeight="1" x14ac:dyDescent="0.3">
      <c r="A114" s="1">
        <v>87</v>
      </c>
      <c r="B114" s="17"/>
      <c r="C114" s="24"/>
      <c r="D114" s="13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6">
        <f t="shared" si="25"/>
        <v>0</v>
      </c>
    </row>
    <row r="115" spans="1:55" ht="15.75" customHeight="1" x14ac:dyDescent="0.3">
      <c r="A115" s="1">
        <v>88</v>
      </c>
      <c r="B115" s="17"/>
      <c r="C115" s="24"/>
      <c r="D115" s="13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6">
        <f t="shared" si="25"/>
        <v>0</v>
      </c>
    </row>
    <row r="116" spans="1:55" ht="15.75" customHeight="1" x14ac:dyDescent="0.3">
      <c r="A116" s="1">
        <v>89</v>
      </c>
      <c r="B116" s="17"/>
      <c r="C116" s="24"/>
      <c r="D116" s="13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6">
        <f t="shared" si="25"/>
        <v>0</v>
      </c>
    </row>
    <row r="117" spans="1:55" ht="15.75" customHeight="1" x14ac:dyDescent="0.3">
      <c r="A117" s="1">
        <v>90</v>
      </c>
      <c r="B117" s="17"/>
      <c r="C117" s="24"/>
      <c r="D117" s="13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6">
        <f t="shared" si="25"/>
        <v>0</v>
      </c>
    </row>
    <row r="118" spans="1:55" ht="15.75" customHeight="1" x14ac:dyDescent="0.3">
      <c r="A118" s="1">
        <v>91</v>
      </c>
      <c r="B118" s="17"/>
      <c r="C118" s="24"/>
      <c r="D118" s="13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6">
        <f t="shared" si="25"/>
        <v>0</v>
      </c>
    </row>
    <row r="119" spans="1:55" ht="15.75" customHeight="1" x14ac:dyDescent="0.3">
      <c r="A119" s="1">
        <v>92</v>
      </c>
      <c r="B119" s="17"/>
      <c r="C119" s="24"/>
      <c r="D119" s="13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6">
        <f t="shared" si="25"/>
        <v>0</v>
      </c>
    </row>
    <row r="120" spans="1:55" ht="15.75" customHeight="1" x14ac:dyDescent="0.3">
      <c r="A120" s="1">
        <v>93</v>
      </c>
      <c r="B120" s="17"/>
      <c r="C120" s="24"/>
      <c r="D120" s="13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6">
        <f t="shared" si="25"/>
        <v>0</v>
      </c>
    </row>
    <row r="121" spans="1:55" ht="15.75" customHeight="1" x14ac:dyDescent="0.3">
      <c r="A121" s="1">
        <v>94</v>
      </c>
      <c r="B121" s="17"/>
      <c r="C121" s="24"/>
      <c r="D121" s="13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6">
        <f t="shared" si="25"/>
        <v>0</v>
      </c>
    </row>
    <row r="122" spans="1:55" ht="15.75" customHeight="1" x14ac:dyDescent="0.3">
      <c r="A122" s="1">
        <v>95</v>
      </c>
      <c r="B122" s="17"/>
      <c r="C122" s="24"/>
      <c r="D122" s="13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6">
        <f t="shared" si="25"/>
        <v>0</v>
      </c>
    </row>
    <row r="123" spans="1:55" ht="15.75" customHeight="1" x14ac:dyDescent="0.3">
      <c r="A123" s="1">
        <v>96</v>
      </c>
      <c r="B123" s="17"/>
      <c r="C123" s="24"/>
      <c r="D123" s="13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6">
        <f t="shared" si="25"/>
        <v>0</v>
      </c>
    </row>
    <row r="124" spans="1:55" ht="15.75" customHeight="1" x14ac:dyDescent="0.3">
      <c r="A124" s="1">
        <v>97</v>
      </c>
      <c r="B124" s="17"/>
      <c r="C124" s="24"/>
      <c r="D124" s="13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6">
        <f t="shared" si="25"/>
        <v>0</v>
      </c>
    </row>
    <row r="125" spans="1:55" ht="15.75" customHeight="1" x14ac:dyDescent="0.3">
      <c r="A125" s="1">
        <v>98</v>
      </c>
      <c r="B125" s="17"/>
      <c r="C125" s="24"/>
      <c r="D125" s="13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6">
        <f t="shared" si="25"/>
        <v>0</v>
      </c>
    </row>
    <row r="126" spans="1:55" ht="15.75" customHeight="1" x14ac:dyDescent="0.3">
      <c r="A126" s="1">
        <v>99</v>
      </c>
      <c r="B126" s="17"/>
      <c r="C126" s="24"/>
      <c r="D126" s="13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6">
        <f t="shared" si="25"/>
        <v>0</v>
      </c>
    </row>
    <row r="127" spans="1:55" ht="15.75" customHeight="1" x14ac:dyDescent="0.3">
      <c r="A127" s="1">
        <v>100</v>
      </c>
      <c r="B127" s="17"/>
      <c r="C127" s="24"/>
      <c r="D127" s="13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6">
        <f t="shared" si="25"/>
        <v>0</v>
      </c>
    </row>
    <row r="128" spans="1:55" ht="15.75" customHeight="1" x14ac:dyDescent="0.3">
      <c r="A128" s="1">
        <v>101</v>
      </c>
      <c r="B128" s="17"/>
      <c r="C128" s="24"/>
      <c r="D128" s="13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6">
        <f t="shared" si="25"/>
        <v>0</v>
      </c>
    </row>
    <row r="129" spans="1:55" ht="15.75" customHeight="1" x14ac:dyDescent="0.3">
      <c r="A129" s="1">
        <v>102</v>
      </c>
      <c r="B129" s="17"/>
      <c r="C129" s="24"/>
      <c r="D129" s="13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6">
        <f t="shared" si="25"/>
        <v>0</v>
      </c>
    </row>
    <row r="130" spans="1:55" ht="15.75" customHeight="1" x14ac:dyDescent="0.3">
      <c r="A130" s="1">
        <v>103</v>
      </c>
      <c r="B130" s="17"/>
      <c r="C130" s="24"/>
      <c r="D130" s="13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6">
        <f t="shared" si="25"/>
        <v>0</v>
      </c>
    </row>
    <row r="131" spans="1:55" ht="15.75" customHeight="1" x14ac:dyDescent="0.3">
      <c r="A131" s="1">
        <v>104</v>
      </c>
      <c r="B131" s="17"/>
      <c r="C131" s="24"/>
      <c r="D131" s="13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6">
        <f t="shared" si="25"/>
        <v>0</v>
      </c>
    </row>
    <row r="132" spans="1:55" ht="15.75" customHeight="1" x14ac:dyDescent="0.3">
      <c r="A132" s="1">
        <v>105</v>
      </c>
      <c r="B132" s="17"/>
      <c r="C132" s="24"/>
      <c r="D132" s="13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6">
        <f t="shared" si="25"/>
        <v>0</v>
      </c>
    </row>
    <row r="133" spans="1:55" ht="15.75" customHeight="1" x14ac:dyDescent="0.3">
      <c r="A133" s="1">
        <v>106</v>
      </c>
      <c r="B133" s="17"/>
      <c r="C133" s="24"/>
      <c r="D133" s="13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6">
        <f t="shared" si="25"/>
        <v>0</v>
      </c>
    </row>
    <row r="134" spans="1:55" ht="15.75" customHeight="1" x14ac:dyDescent="0.3">
      <c r="A134" s="1">
        <v>107</v>
      </c>
      <c r="B134" s="17"/>
      <c r="C134" s="24"/>
      <c r="D134" s="13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6">
        <f t="shared" si="25"/>
        <v>0</v>
      </c>
    </row>
    <row r="135" spans="1:55" ht="15.75" customHeight="1" x14ac:dyDescent="0.3">
      <c r="A135" s="1">
        <v>108</v>
      </c>
      <c r="B135" s="17"/>
      <c r="C135" s="24"/>
      <c r="D135" s="13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6">
        <f t="shared" si="25"/>
        <v>0</v>
      </c>
    </row>
    <row r="136" spans="1:55" ht="15.75" customHeight="1" x14ac:dyDescent="0.3">
      <c r="A136" s="1">
        <v>109</v>
      </c>
      <c r="B136" s="17"/>
      <c r="C136" s="24"/>
      <c r="D136" s="13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6">
        <f t="shared" si="25"/>
        <v>0</v>
      </c>
    </row>
    <row r="137" spans="1:55" ht="15.75" customHeight="1" x14ac:dyDescent="0.3">
      <c r="A137" s="1">
        <v>110</v>
      </c>
      <c r="B137" s="17"/>
      <c r="C137" s="24"/>
      <c r="D137" s="13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6">
        <f t="shared" si="25"/>
        <v>0</v>
      </c>
    </row>
    <row r="138" spans="1:55" ht="15.75" customHeight="1" x14ac:dyDescent="0.3">
      <c r="A138" s="1">
        <v>111</v>
      </c>
      <c r="B138" s="17"/>
      <c r="C138" s="24"/>
      <c r="D138" s="13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6">
        <f t="shared" si="25"/>
        <v>0</v>
      </c>
    </row>
    <row r="139" spans="1:55" ht="15.75" customHeight="1" x14ac:dyDescent="0.3">
      <c r="A139" s="1">
        <v>112</v>
      </c>
      <c r="B139" s="17"/>
      <c r="C139" s="24"/>
      <c r="D139" s="13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6">
        <f t="shared" si="25"/>
        <v>0</v>
      </c>
    </row>
    <row r="140" spans="1:55" ht="15.75" customHeight="1" x14ac:dyDescent="0.3">
      <c r="A140" s="1">
        <v>113</v>
      </c>
      <c r="B140" s="17"/>
      <c r="C140" s="24"/>
      <c r="D140" s="13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6">
        <f t="shared" si="25"/>
        <v>0</v>
      </c>
    </row>
    <row r="141" spans="1:55" ht="15.75" customHeight="1" x14ac:dyDescent="0.3">
      <c r="A141" s="1">
        <v>114</v>
      </c>
      <c r="B141" s="17"/>
      <c r="C141" s="24"/>
      <c r="D141" s="13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6">
        <f t="shared" si="25"/>
        <v>0</v>
      </c>
    </row>
    <row r="142" spans="1:55" ht="15.75" customHeight="1" x14ac:dyDescent="0.3">
      <c r="A142" s="1">
        <v>115</v>
      </c>
      <c r="B142" s="17"/>
      <c r="C142" s="24"/>
      <c r="D142" s="13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6">
        <f t="shared" si="25"/>
        <v>0</v>
      </c>
    </row>
    <row r="143" spans="1:55" ht="15.75" customHeight="1" x14ac:dyDescent="0.3">
      <c r="A143" s="1">
        <v>116</v>
      </c>
      <c r="B143" s="17"/>
      <c r="C143" s="24"/>
      <c r="D143" s="13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6">
        <f t="shared" si="25"/>
        <v>0</v>
      </c>
    </row>
    <row r="144" spans="1:55" ht="15.75" customHeight="1" x14ac:dyDescent="0.3">
      <c r="A144" s="1">
        <v>117</v>
      </c>
      <c r="B144" s="17"/>
      <c r="C144" s="24"/>
      <c r="D144" s="13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6">
        <f t="shared" si="25"/>
        <v>0</v>
      </c>
    </row>
    <row r="145" spans="1:55" ht="15.75" customHeight="1" x14ac:dyDescent="0.3">
      <c r="A145" s="1">
        <v>118</v>
      </c>
      <c r="B145" s="17"/>
      <c r="C145" s="24"/>
      <c r="D145" s="13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6">
        <f t="shared" si="25"/>
        <v>0</v>
      </c>
    </row>
    <row r="146" spans="1:55" ht="15.75" customHeight="1" x14ac:dyDescent="0.3">
      <c r="A146" s="1">
        <v>119</v>
      </c>
      <c r="B146" s="17"/>
      <c r="C146" s="24"/>
      <c r="D146" s="13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6">
        <f t="shared" si="25"/>
        <v>0</v>
      </c>
    </row>
    <row r="147" spans="1:55" ht="15.75" customHeight="1" x14ac:dyDescent="0.3">
      <c r="A147" s="1">
        <v>120</v>
      </c>
      <c r="B147" s="17"/>
      <c r="C147" s="24"/>
      <c r="D147" s="13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6">
        <f t="shared" si="25"/>
        <v>0</v>
      </c>
    </row>
    <row r="148" spans="1:55" ht="15.75" customHeight="1" x14ac:dyDescent="0.3">
      <c r="A148" s="1">
        <v>121</v>
      </c>
      <c r="B148" s="17"/>
      <c r="C148" s="24"/>
      <c r="D148" s="13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6">
        <f t="shared" si="25"/>
        <v>0</v>
      </c>
    </row>
    <row r="149" spans="1:55" ht="15.75" customHeight="1" x14ac:dyDescent="0.3">
      <c r="A149" s="1">
        <v>122</v>
      </c>
      <c r="B149" s="17"/>
      <c r="C149" s="24"/>
      <c r="D149" s="13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6">
        <f t="shared" si="25"/>
        <v>0</v>
      </c>
    </row>
    <row r="150" spans="1:55" ht="15.75" customHeight="1" x14ac:dyDescent="0.3">
      <c r="A150" s="1">
        <v>123</v>
      </c>
      <c r="B150" s="17"/>
      <c r="C150" s="24"/>
      <c r="D150" s="13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6">
        <f t="shared" si="25"/>
        <v>0</v>
      </c>
    </row>
    <row r="151" spans="1:55" ht="15.75" customHeight="1" x14ac:dyDescent="0.3">
      <c r="A151" s="1">
        <v>124</v>
      </c>
      <c r="B151" s="17"/>
      <c r="C151" s="24"/>
      <c r="D151" s="13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6">
        <f t="shared" si="25"/>
        <v>0</v>
      </c>
    </row>
    <row r="152" spans="1:55" ht="15.75" customHeight="1" x14ac:dyDescent="0.3">
      <c r="A152" s="1">
        <v>125</v>
      </c>
      <c r="B152" s="17"/>
      <c r="C152" s="24"/>
      <c r="D152" s="13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6">
        <f t="shared" si="25"/>
        <v>0</v>
      </c>
    </row>
    <row r="153" spans="1:55" ht="15.75" customHeight="1" x14ac:dyDescent="0.3">
      <c r="A153" s="1">
        <v>126</v>
      </c>
      <c r="B153" s="17"/>
      <c r="C153" s="24"/>
      <c r="D153" s="13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6">
        <f t="shared" si="25"/>
        <v>0</v>
      </c>
    </row>
    <row r="154" spans="1:55" ht="15.75" customHeight="1" x14ac:dyDescent="0.3">
      <c r="A154" s="1">
        <v>127</v>
      </c>
      <c r="B154" s="17"/>
      <c r="C154" s="24"/>
      <c r="D154" s="13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6">
        <f t="shared" si="25"/>
        <v>0</v>
      </c>
    </row>
    <row r="155" spans="1:55" ht="15.75" customHeight="1" x14ac:dyDescent="0.3">
      <c r="A155" s="1">
        <v>128</v>
      </c>
      <c r="B155" s="17"/>
      <c r="C155" s="24"/>
      <c r="D155" s="13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6">
        <f t="shared" si="25"/>
        <v>0</v>
      </c>
    </row>
    <row r="156" spans="1:55" ht="15.75" customHeight="1" x14ac:dyDescent="0.3">
      <c r="A156" s="1">
        <v>129</v>
      </c>
      <c r="B156" s="17"/>
      <c r="C156" s="24"/>
      <c r="D156" s="13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6">
        <f t="shared" si="25"/>
        <v>0</v>
      </c>
    </row>
    <row r="157" spans="1:55" ht="15.75" customHeight="1" x14ac:dyDescent="0.3">
      <c r="A157" s="1">
        <v>130</v>
      </c>
      <c r="B157" s="17"/>
      <c r="C157" s="24"/>
      <c r="D157" s="13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6">
        <f t="shared" si="25"/>
        <v>0</v>
      </c>
    </row>
    <row r="158" spans="1:55" ht="15.75" customHeight="1" x14ac:dyDescent="0.3">
      <c r="A158" s="1">
        <v>131</v>
      </c>
      <c r="B158" s="17"/>
      <c r="C158" s="24"/>
      <c r="D158" s="13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6">
        <f t="shared" si="25"/>
        <v>0</v>
      </c>
    </row>
    <row r="159" spans="1:55" ht="15.75" customHeight="1" x14ac:dyDescent="0.3">
      <c r="A159" s="1">
        <v>132</v>
      </c>
      <c r="B159" s="17"/>
      <c r="C159" s="24"/>
      <c r="D159" s="13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6">
        <f t="shared" si="25"/>
        <v>0</v>
      </c>
    </row>
    <row r="160" spans="1:55" ht="15.75" customHeight="1" x14ac:dyDescent="0.3">
      <c r="A160" s="1">
        <v>133</v>
      </c>
      <c r="B160" s="17"/>
      <c r="C160" s="24"/>
      <c r="D160" s="13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6">
        <f t="shared" si="25"/>
        <v>0</v>
      </c>
    </row>
    <row r="161" spans="1:55" ht="15.75" customHeight="1" x14ac:dyDescent="0.3">
      <c r="A161" s="1">
        <v>134</v>
      </c>
      <c r="B161" s="17"/>
      <c r="C161" s="24"/>
      <c r="D161" s="13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6">
        <f t="shared" si="25"/>
        <v>0</v>
      </c>
    </row>
    <row r="162" spans="1:55" ht="15.75" customHeight="1" x14ac:dyDescent="0.3">
      <c r="A162" s="1">
        <v>135</v>
      </c>
      <c r="B162" s="17"/>
      <c r="C162" s="24"/>
      <c r="D162" s="13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6">
        <f t="shared" si="25"/>
        <v>0</v>
      </c>
    </row>
    <row r="163" spans="1:55" ht="15.75" customHeight="1" x14ac:dyDescent="0.3">
      <c r="A163" s="1">
        <v>136</v>
      </c>
      <c r="B163" s="17"/>
      <c r="C163" s="24"/>
      <c r="D163" s="13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6">
        <f t="shared" si="25"/>
        <v>0</v>
      </c>
    </row>
    <row r="164" spans="1:55" ht="15.75" customHeight="1" x14ac:dyDescent="0.3">
      <c r="A164" s="1">
        <v>137</v>
      </c>
      <c r="B164" s="17"/>
      <c r="C164" s="24"/>
      <c r="D164" s="13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6">
        <f t="shared" si="25"/>
        <v>0</v>
      </c>
    </row>
    <row r="165" spans="1:55" ht="15.75" customHeight="1" x14ac:dyDescent="0.3">
      <c r="A165" s="1">
        <v>138</v>
      </c>
      <c r="B165" s="17"/>
      <c r="C165" s="24"/>
      <c r="D165" s="13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6">
        <f t="shared" si="25"/>
        <v>0</v>
      </c>
    </row>
    <row r="166" spans="1:55" ht="15.75" customHeight="1" x14ac:dyDescent="0.3">
      <c r="A166" s="1">
        <v>139</v>
      </c>
      <c r="B166" s="17"/>
      <c r="C166" s="24"/>
      <c r="D166" s="13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6">
        <f t="shared" si="25"/>
        <v>0</v>
      </c>
    </row>
    <row r="167" spans="1:55" ht="15.75" customHeight="1" x14ac:dyDescent="0.3">
      <c r="A167" s="1">
        <v>140</v>
      </c>
      <c r="B167" s="17"/>
      <c r="C167" s="24"/>
      <c r="D167" s="13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6">
        <f t="shared" si="25"/>
        <v>0</v>
      </c>
    </row>
    <row r="168" spans="1:55" ht="15.75" customHeight="1" x14ac:dyDescent="0.3">
      <c r="A168" s="1">
        <v>141</v>
      </c>
      <c r="B168" s="17"/>
      <c r="C168" s="24"/>
      <c r="D168" s="13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6">
        <f t="shared" si="25"/>
        <v>0</v>
      </c>
    </row>
    <row r="169" spans="1:55" ht="15.75" customHeight="1" x14ac:dyDescent="0.3">
      <c r="A169" s="1">
        <v>142</v>
      </c>
      <c r="B169" s="17"/>
      <c r="C169" s="24"/>
      <c r="D169" s="13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6">
        <f t="shared" si="25"/>
        <v>0</v>
      </c>
    </row>
    <row r="170" spans="1:55" ht="15.75" customHeight="1" x14ac:dyDescent="0.3">
      <c r="A170" s="1">
        <v>143</v>
      </c>
      <c r="B170" s="17"/>
      <c r="C170" s="24"/>
      <c r="D170" s="13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6">
        <f t="shared" si="25"/>
        <v>0</v>
      </c>
    </row>
    <row r="171" spans="1:55" ht="15.75" customHeight="1" x14ac:dyDescent="0.3">
      <c r="A171" s="1">
        <v>144</v>
      </c>
      <c r="B171" s="17"/>
      <c r="C171" s="24"/>
      <c r="D171" s="13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6">
        <f t="shared" si="25"/>
        <v>0</v>
      </c>
    </row>
    <row r="172" spans="1:55" ht="15.75" customHeight="1" x14ac:dyDescent="0.3">
      <c r="A172" s="1">
        <v>145</v>
      </c>
      <c r="B172" s="17"/>
      <c r="C172" s="24"/>
      <c r="D172" s="13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6">
        <f t="shared" si="25"/>
        <v>0</v>
      </c>
    </row>
    <row r="173" spans="1:55" ht="15.75" customHeight="1" x14ac:dyDescent="0.3">
      <c r="A173" s="1">
        <v>146</v>
      </c>
      <c r="B173" s="17"/>
      <c r="C173" s="24"/>
      <c r="D173" s="13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6">
        <f t="shared" si="25"/>
        <v>0</v>
      </c>
    </row>
    <row r="174" spans="1:55" ht="15.75" customHeight="1" x14ac:dyDescent="0.3">
      <c r="A174" s="1">
        <v>147</v>
      </c>
      <c r="B174" s="17"/>
      <c r="C174" s="24"/>
      <c r="D174" s="13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6">
        <f t="shared" si="25"/>
        <v>0</v>
      </c>
    </row>
    <row r="175" spans="1:55" ht="15.75" customHeight="1" x14ac:dyDescent="0.3">
      <c r="A175" s="1">
        <v>148</v>
      </c>
      <c r="B175" s="17"/>
      <c r="C175" s="24"/>
      <c r="D175" s="13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6">
        <f t="shared" si="25"/>
        <v>0</v>
      </c>
    </row>
    <row r="176" spans="1:55" ht="15.75" customHeight="1" x14ac:dyDescent="0.3">
      <c r="A176" s="1">
        <v>149</v>
      </c>
      <c r="B176" s="17"/>
      <c r="C176" s="24"/>
      <c r="D176" s="13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6">
        <f t="shared" si="25"/>
        <v>0</v>
      </c>
    </row>
    <row r="177" spans="1:55" ht="15.75" customHeight="1" x14ac:dyDescent="0.3">
      <c r="A177" s="1">
        <v>150</v>
      </c>
      <c r="B177" s="17"/>
      <c r="C177" s="24"/>
      <c r="D177" s="13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6">
        <f t="shared" si="25"/>
        <v>0</v>
      </c>
    </row>
    <row r="178" spans="1:55" ht="15.75" customHeight="1" x14ac:dyDescent="0.3">
      <c r="A178" s="1">
        <v>151</v>
      </c>
      <c r="B178" s="17"/>
      <c r="C178" s="24"/>
      <c r="D178" s="13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6">
        <f t="shared" si="25"/>
        <v>0</v>
      </c>
    </row>
    <row r="179" spans="1:55" ht="15.75" customHeight="1" x14ac:dyDescent="0.3">
      <c r="A179" s="1">
        <v>152</v>
      </c>
      <c r="B179" s="17"/>
      <c r="C179" s="24"/>
      <c r="D179" s="13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6">
        <f t="shared" si="25"/>
        <v>0</v>
      </c>
    </row>
    <row r="180" spans="1:55" ht="15.75" customHeight="1" x14ac:dyDescent="0.3">
      <c r="A180" s="1">
        <v>153</v>
      </c>
      <c r="B180" s="17"/>
      <c r="C180" s="24"/>
      <c r="D180" s="13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6">
        <f t="shared" si="25"/>
        <v>0</v>
      </c>
    </row>
    <row r="181" spans="1:55" ht="15.75" customHeight="1" x14ac:dyDescent="0.3">
      <c r="A181" s="1">
        <v>154</v>
      </c>
      <c r="B181" s="17"/>
      <c r="C181" s="24"/>
      <c r="D181" s="13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6">
        <f t="shared" si="25"/>
        <v>0</v>
      </c>
    </row>
    <row r="182" spans="1:55" ht="15.75" customHeight="1" x14ac:dyDescent="0.3">
      <c r="A182" s="1">
        <v>155</v>
      </c>
      <c r="B182" s="17"/>
      <c r="C182" s="24"/>
      <c r="D182" s="13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6">
        <f t="shared" si="25"/>
        <v>0</v>
      </c>
    </row>
    <row r="183" spans="1:55" ht="15.75" customHeight="1" x14ac:dyDescent="0.3">
      <c r="A183" s="1">
        <v>156</v>
      </c>
      <c r="B183" s="17"/>
      <c r="C183" s="24"/>
      <c r="D183" s="13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6">
        <f t="shared" si="25"/>
        <v>0</v>
      </c>
    </row>
    <row r="184" spans="1:55" ht="15.75" customHeight="1" x14ac:dyDescent="0.3">
      <c r="A184" s="1">
        <v>157</v>
      </c>
      <c r="B184" s="17"/>
      <c r="C184" s="24"/>
      <c r="D184" s="13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6">
        <f t="shared" si="25"/>
        <v>0</v>
      </c>
    </row>
    <row r="185" spans="1:55" ht="15.75" customHeight="1" x14ac:dyDescent="0.3">
      <c r="A185" s="1">
        <v>158</v>
      </c>
      <c r="B185" s="17"/>
      <c r="C185" s="24"/>
      <c r="D185" s="13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6">
        <f t="shared" si="25"/>
        <v>0</v>
      </c>
    </row>
    <row r="186" spans="1:55" ht="15.75" customHeight="1" x14ac:dyDescent="0.3">
      <c r="A186" s="1">
        <v>159</v>
      </c>
      <c r="B186" s="17"/>
      <c r="C186" s="24"/>
      <c r="D186" s="13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6">
        <f t="shared" si="25"/>
        <v>0</v>
      </c>
    </row>
    <row r="187" spans="1:55" ht="15.75" customHeight="1" x14ac:dyDescent="0.3">
      <c r="A187" s="1">
        <v>160</v>
      </c>
      <c r="B187" s="17"/>
      <c r="C187" s="24"/>
      <c r="D187" s="13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6">
        <f t="shared" si="25"/>
        <v>0</v>
      </c>
    </row>
    <row r="188" spans="1:55" ht="15.75" customHeight="1" x14ac:dyDescent="0.3">
      <c r="A188" s="1">
        <v>161</v>
      </c>
      <c r="B188" s="17"/>
      <c r="C188" s="24"/>
      <c r="D188" s="13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6">
        <f t="shared" si="25"/>
        <v>0</v>
      </c>
    </row>
    <row r="189" spans="1:55" ht="15.75" customHeight="1" x14ac:dyDescent="0.3">
      <c r="A189" s="1">
        <v>162</v>
      </c>
      <c r="B189" s="17"/>
      <c r="C189" s="24"/>
      <c r="D189" s="13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6">
        <f t="shared" si="25"/>
        <v>0</v>
      </c>
    </row>
    <row r="190" spans="1:55" ht="15.75" customHeight="1" x14ac:dyDescent="0.3">
      <c r="A190" s="1">
        <v>163</v>
      </c>
      <c r="B190" s="17"/>
      <c r="C190" s="24"/>
      <c r="D190" s="13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6">
        <f t="shared" si="25"/>
        <v>0</v>
      </c>
    </row>
    <row r="191" spans="1:55" ht="15.75" customHeight="1" x14ac:dyDescent="0.3">
      <c r="A191" s="1">
        <v>164</v>
      </c>
      <c r="B191" s="17"/>
      <c r="C191" s="24"/>
      <c r="D191" s="13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6">
        <f t="shared" si="25"/>
        <v>0</v>
      </c>
    </row>
    <row r="192" spans="1:55" ht="15.75" customHeight="1" x14ac:dyDescent="0.3">
      <c r="A192" s="1">
        <v>165</v>
      </c>
      <c r="B192" s="17"/>
      <c r="C192" s="24"/>
      <c r="D192" s="13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6">
        <f t="shared" si="25"/>
        <v>0</v>
      </c>
    </row>
    <row r="193" spans="1:55" ht="15.75" customHeight="1" x14ac:dyDescent="0.3">
      <c r="A193" s="1">
        <v>166</v>
      </c>
      <c r="B193" s="17"/>
      <c r="C193" s="24"/>
      <c r="D193" s="13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6">
        <f t="shared" si="25"/>
        <v>0</v>
      </c>
    </row>
    <row r="194" spans="1:55" ht="15.75" customHeight="1" x14ac:dyDescent="0.3">
      <c r="A194" s="1">
        <v>167</v>
      </c>
      <c r="B194" s="17"/>
      <c r="C194" s="24"/>
      <c r="D194" s="13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6">
        <f t="shared" si="25"/>
        <v>0</v>
      </c>
    </row>
    <row r="195" spans="1:55" ht="15.75" customHeight="1" x14ac:dyDescent="0.3">
      <c r="A195" s="1">
        <v>168</v>
      </c>
      <c r="B195" s="17"/>
      <c r="C195" s="24"/>
      <c r="D195" s="13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6">
        <f t="shared" si="25"/>
        <v>0</v>
      </c>
    </row>
    <row r="196" spans="1:55" ht="15.75" customHeight="1" x14ac:dyDescent="0.3">
      <c r="A196" s="1">
        <v>169</v>
      </c>
      <c r="B196" s="17"/>
      <c r="C196" s="24"/>
      <c r="D196" s="13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6">
        <f t="shared" si="25"/>
        <v>0</v>
      </c>
    </row>
    <row r="197" spans="1:55" ht="15.75" customHeight="1" x14ac:dyDescent="0.3">
      <c r="A197" s="1">
        <v>170</v>
      </c>
      <c r="B197" s="17"/>
      <c r="C197" s="24"/>
      <c r="D197" s="13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6">
        <f t="shared" si="25"/>
        <v>0</v>
      </c>
    </row>
    <row r="198" spans="1:55" ht="15.75" customHeight="1" x14ac:dyDescent="0.3">
      <c r="A198" s="1">
        <v>171</v>
      </c>
      <c r="B198" s="17"/>
      <c r="C198" s="24"/>
      <c r="D198" s="13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6">
        <f t="shared" si="25"/>
        <v>0</v>
      </c>
    </row>
    <row r="199" spans="1:55" ht="15.75" customHeight="1" x14ac:dyDescent="0.3">
      <c r="A199" s="1">
        <v>172</v>
      </c>
      <c r="B199" s="17"/>
      <c r="C199" s="24"/>
      <c r="D199" s="13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6">
        <f t="shared" si="25"/>
        <v>0</v>
      </c>
    </row>
    <row r="200" spans="1:55" ht="15.75" customHeight="1" x14ac:dyDescent="0.3">
      <c r="A200" s="1">
        <v>173</v>
      </c>
      <c r="B200" s="17"/>
      <c r="C200" s="24"/>
      <c r="D200" s="13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6">
        <f t="shared" si="25"/>
        <v>0</v>
      </c>
    </row>
    <row r="201" spans="1:55" ht="15.75" customHeight="1" x14ac:dyDescent="0.3">
      <c r="A201" s="1">
        <v>174</v>
      </c>
      <c r="B201" s="17"/>
      <c r="C201" s="24"/>
      <c r="D201" s="13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6">
        <f t="shared" si="25"/>
        <v>0</v>
      </c>
    </row>
    <row r="202" spans="1:55" ht="15.75" customHeight="1" x14ac:dyDescent="0.3">
      <c r="A202" s="1">
        <v>175</v>
      </c>
      <c r="B202" s="17"/>
      <c r="C202" s="24"/>
      <c r="D202" s="13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6">
        <f t="shared" si="25"/>
        <v>0</v>
      </c>
    </row>
    <row r="203" spans="1:55" ht="15.75" customHeight="1" x14ac:dyDescent="0.3">
      <c r="A203" s="1">
        <v>176</v>
      </c>
      <c r="B203" s="17"/>
      <c r="C203" s="24"/>
      <c r="D203" s="13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6">
        <f t="shared" si="25"/>
        <v>0</v>
      </c>
    </row>
    <row r="204" spans="1:55" ht="15.75" customHeight="1" x14ac:dyDescent="0.3">
      <c r="A204" s="1">
        <v>177</v>
      </c>
      <c r="B204" s="17"/>
      <c r="C204" s="24"/>
      <c r="D204" s="13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6">
        <f t="shared" si="25"/>
        <v>0</v>
      </c>
    </row>
    <row r="205" spans="1:55" ht="15.75" customHeight="1" x14ac:dyDescent="0.3">
      <c r="A205" s="1">
        <v>178</v>
      </c>
      <c r="B205" s="17"/>
      <c r="C205" s="24"/>
      <c r="D205" s="13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6">
        <f t="shared" si="25"/>
        <v>0</v>
      </c>
    </row>
    <row r="206" spans="1:55" ht="15.75" customHeight="1" x14ac:dyDescent="0.3">
      <c r="A206" s="1">
        <v>179</v>
      </c>
      <c r="B206" s="17"/>
      <c r="C206" s="24"/>
      <c r="D206" s="13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6">
        <f t="shared" si="25"/>
        <v>0</v>
      </c>
    </row>
    <row r="207" spans="1:55" ht="15.75" customHeight="1" x14ac:dyDescent="0.3">
      <c r="A207" s="1">
        <v>180</v>
      </c>
      <c r="B207" s="17"/>
      <c r="C207" s="24"/>
      <c r="D207" s="13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6">
        <f t="shared" si="25"/>
        <v>0</v>
      </c>
    </row>
    <row r="208" spans="1:55" ht="15.75" customHeight="1" x14ac:dyDescent="0.3">
      <c r="A208" s="1">
        <v>181</v>
      </c>
      <c r="B208" s="17"/>
      <c r="C208" s="24"/>
      <c r="D208" s="13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6">
        <f t="shared" si="25"/>
        <v>0</v>
      </c>
    </row>
    <row r="209" spans="1:55" ht="15.75" customHeight="1" x14ac:dyDescent="0.3">
      <c r="A209" s="1">
        <v>182</v>
      </c>
      <c r="B209" s="17"/>
      <c r="C209" s="24"/>
      <c r="D209" s="13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6">
        <f t="shared" si="25"/>
        <v>0</v>
      </c>
    </row>
    <row r="210" spans="1:55" ht="15.75" customHeight="1" x14ac:dyDescent="0.3">
      <c r="A210" s="1">
        <v>183</v>
      </c>
      <c r="B210" s="17"/>
      <c r="C210" s="24"/>
      <c r="D210" s="13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6">
        <f t="shared" si="25"/>
        <v>0</v>
      </c>
    </row>
    <row r="211" spans="1:55" ht="15.75" customHeight="1" x14ac:dyDescent="0.3">
      <c r="A211" s="1">
        <v>184</v>
      </c>
      <c r="B211" s="17"/>
      <c r="C211" s="24"/>
      <c r="D211" s="13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6">
        <f t="shared" si="25"/>
        <v>0</v>
      </c>
    </row>
    <row r="212" spans="1:55" ht="15.75" customHeight="1" x14ac:dyDescent="0.3">
      <c r="A212" s="1">
        <v>185</v>
      </c>
      <c r="B212" s="17"/>
      <c r="C212" s="24"/>
      <c r="D212" s="13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6">
        <f t="shared" si="25"/>
        <v>0</v>
      </c>
    </row>
    <row r="213" spans="1:55" ht="15.75" customHeight="1" x14ac:dyDescent="0.3">
      <c r="A213" s="1">
        <v>186</v>
      </c>
      <c r="B213" s="17"/>
      <c r="C213" s="24"/>
      <c r="D213" s="13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6">
        <f t="shared" si="25"/>
        <v>0</v>
      </c>
    </row>
    <row r="214" spans="1:55" ht="15.75" customHeight="1" x14ac:dyDescent="0.3">
      <c r="A214" s="1">
        <v>187</v>
      </c>
      <c r="B214" s="17"/>
      <c r="C214" s="24"/>
      <c r="D214" s="13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6">
        <f t="shared" si="25"/>
        <v>0</v>
      </c>
    </row>
    <row r="215" spans="1:55" ht="15.75" customHeight="1" x14ac:dyDescent="0.3">
      <c r="A215" s="1">
        <v>188</v>
      </c>
      <c r="B215" s="17"/>
      <c r="C215" s="24"/>
      <c r="D215" s="13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6">
        <f t="shared" si="25"/>
        <v>0</v>
      </c>
    </row>
    <row r="216" spans="1:55" ht="15.75" customHeight="1" x14ac:dyDescent="0.3">
      <c r="A216" s="1">
        <v>189</v>
      </c>
      <c r="B216" s="17"/>
      <c r="C216" s="24"/>
      <c r="D216" s="13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6">
        <f t="shared" si="25"/>
        <v>0</v>
      </c>
    </row>
    <row r="217" spans="1:55" ht="15.75" customHeight="1" x14ac:dyDescent="0.3">
      <c r="A217" s="1">
        <v>190</v>
      </c>
      <c r="B217" s="17"/>
      <c r="C217" s="24"/>
      <c r="D217" s="13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6">
        <f t="shared" si="25"/>
        <v>0</v>
      </c>
    </row>
    <row r="218" spans="1:55" ht="15.75" customHeight="1" x14ac:dyDescent="0.3">
      <c r="A218" s="1">
        <v>191</v>
      </c>
      <c r="B218" s="17"/>
      <c r="C218" s="24"/>
      <c r="D218" s="13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6">
        <f t="shared" si="25"/>
        <v>0</v>
      </c>
    </row>
    <row r="219" spans="1:55" ht="15.75" customHeight="1" x14ac:dyDescent="0.3">
      <c r="A219" s="1">
        <v>192</v>
      </c>
      <c r="B219" s="17"/>
      <c r="C219" s="24"/>
      <c r="D219" s="13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6">
        <f t="shared" si="25"/>
        <v>0</v>
      </c>
    </row>
    <row r="220" spans="1:55" ht="15.75" customHeight="1" x14ac:dyDescent="0.3">
      <c r="A220" s="1">
        <v>193</v>
      </c>
      <c r="B220" s="17"/>
      <c r="C220" s="24"/>
      <c r="D220" s="13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6">
        <f t="shared" si="25"/>
        <v>0</v>
      </c>
    </row>
    <row r="221" spans="1:55" ht="15.75" customHeight="1" x14ac:dyDescent="0.3">
      <c r="A221" s="1">
        <v>194</v>
      </c>
      <c r="B221" s="17"/>
      <c r="C221" s="24"/>
      <c r="D221" s="13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6">
        <f t="shared" si="25"/>
        <v>0</v>
      </c>
    </row>
    <row r="222" spans="1:55" ht="15.75" customHeight="1" x14ac:dyDescent="0.3">
      <c r="A222" s="1">
        <v>195</v>
      </c>
      <c r="B222" s="17"/>
      <c r="C222" s="24"/>
      <c r="D222" s="13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6">
        <f t="shared" si="25"/>
        <v>0</v>
      </c>
    </row>
    <row r="223" spans="1:55" ht="15.75" customHeight="1" x14ac:dyDescent="0.3">
      <c r="A223" s="1">
        <v>196</v>
      </c>
      <c r="B223" s="17"/>
      <c r="C223" s="24"/>
      <c r="D223" s="13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6">
        <f t="shared" si="25"/>
        <v>0</v>
      </c>
    </row>
    <row r="224" spans="1:55" ht="15.75" customHeight="1" x14ac:dyDescent="0.3">
      <c r="A224" s="1">
        <v>197</v>
      </c>
      <c r="B224" s="17"/>
      <c r="C224" s="24"/>
      <c r="D224" s="13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6">
        <f t="shared" si="25"/>
        <v>0</v>
      </c>
    </row>
    <row r="225" spans="1:55" ht="15.75" customHeight="1" x14ac:dyDescent="0.3">
      <c r="A225" s="1">
        <v>198</v>
      </c>
      <c r="B225" s="17"/>
      <c r="C225" s="24"/>
      <c r="D225" s="13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6">
        <f t="shared" si="25"/>
        <v>0</v>
      </c>
    </row>
    <row r="226" spans="1:55" ht="15.75" customHeight="1" x14ac:dyDescent="0.3">
      <c r="A226" s="1">
        <v>199</v>
      </c>
      <c r="B226" s="17"/>
      <c r="C226" s="24"/>
      <c r="D226" s="13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6">
        <f t="shared" si="25"/>
        <v>0</v>
      </c>
    </row>
    <row r="227" spans="1:55" ht="15.75" customHeight="1" x14ac:dyDescent="0.3">
      <c r="A227" s="1">
        <v>200</v>
      </c>
      <c r="B227" s="17"/>
      <c r="C227" s="24"/>
      <c r="D227" s="13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6">
        <f t="shared" si="25"/>
        <v>0</v>
      </c>
    </row>
    <row r="228" spans="1:55" ht="15.75" customHeight="1" x14ac:dyDescent="0.3">
      <c r="A228" s="1">
        <v>201</v>
      </c>
      <c r="B228" s="17"/>
      <c r="C228" s="24"/>
      <c r="D228" s="13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6">
        <f t="shared" si="25"/>
        <v>0</v>
      </c>
    </row>
    <row r="229" spans="1:55" ht="15.75" customHeight="1" x14ac:dyDescent="0.3">
      <c r="A229" s="1">
        <v>202</v>
      </c>
      <c r="B229" s="17"/>
      <c r="C229" s="24"/>
      <c r="D229" s="13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6">
        <f t="shared" si="25"/>
        <v>0</v>
      </c>
    </row>
    <row r="230" spans="1:55" ht="15.75" customHeight="1" x14ac:dyDescent="0.3">
      <c r="A230" s="1">
        <v>203</v>
      </c>
      <c r="B230" s="17"/>
      <c r="C230" s="24"/>
      <c r="D230" s="13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6">
        <f t="shared" si="25"/>
        <v>0</v>
      </c>
    </row>
    <row r="231" spans="1:55" ht="15.75" customHeight="1" x14ac:dyDescent="0.3">
      <c r="A231" s="1">
        <v>204</v>
      </c>
      <c r="B231" s="17"/>
      <c r="C231" s="24"/>
      <c r="D231" s="13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6">
        <f t="shared" si="25"/>
        <v>0</v>
      </c>
    </row>
    <row r="232" spans="1:55" ht="15.75" customHeight="1" x14ac:dyDescent="0.3">
      <c r="A232" s="1">
        <v>205</v>
      </c>
      <c r="B232" s="17"/>
      <c r="C232" s="24"/>
      <c r="D232" s="13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6">
        <f t="shared" si="25"/>
        <v>0</v>
      </c>
    </row>
    <row r="233" spans="1:55" ht="15.75" customHeight="1" x14ac:dyDescent="0.3">
      <c r="A233" s="1">
        <v>206</v>
      </c>
      <c r="B233" s="17"/>
      <c r="C233" s="24"/>
      <c r="D233" s="13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6">
        <f t="shared" si="25"/>
        <v>0</v>
      </c>
    </row>
    <row r="234" spans="1:55" ht="15.75" customHeight="1" x14ac:dyDescent="0.3">
      <c r="A234" s="1">
        <v>207</v>
      </c>
      <c r="B234" s="17"/>
      <c r="C234" s="24"/>
      <c r="D234" s="13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6">
        <f t="shared" si="25"/>
        <v>0</v>
      </c>
    </row>
    <row r="235" spans="1:55" ht="15.75" customHeight="1" x14ac:dyDescent="0.3">
      <c r="A235" s="1">
        <v>208</v>
      </c>
      <c r="B235" s="17"/>
      <c r="C235" s="24"/>
      <c r="D235" s="13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6">
        <f t="shared" si="25"/>
        <v>0</v>
      </c>
    </row>
    <row r="236" spans="1:55" ht="15.75" customHeight="1" x14ac:dyDescent="0.3">
      <c r="A236" s="1">
        <v>209</v>
      </c>
      <c r="B236" s="17"/>
      <c r="C236" s="24"/>
      <c r="D236" s="13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6">
        <f t="shared" si="25"/>
        <v>0</v>
      </c>
    </row>
    <row r="237" spans="1:55" ht="15.75" customHeight="1" x14ac:dyDescent="0.3">
      <c r="A237" s="1">
        <v>210</v>
      </c>
      <c r="B237" s="17"/>
      <c r="C237" s="24"/>
      <c r="D237" s="13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6">
        <f t="shared" si="25"/>
        <v>0</v>
      </c>
    </row>
    <row r="238" spans="1:55" ht="15.75" customHeight="1" x14ac:dyDescent="0.3">
      <c r="A238" s="1">
        <v>211</v>
      </c>
      <c r="B238" s="17"/>
      <c r="C238" s="24"/>
      <c r="D238" s="13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6">
        <f t="shared" si="25"/>
        <v>0</v>
      </c>
    </row>
    <row r="239" spans="1:55" ht="15.75" customHeight="1" x14ac:dyDescent="0.3">
      <c r="A239" s="1">
        <v>212</v>
      </c>
      <c r="B239" s="17"/>
      <c r="C239" s="24"/>
      <c r="D239" s="13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6">
        <f t="shared" si="25"/>
        <v>0</v>
      </c>
    </row>
    <row r="240" spans="1:55" ht="15.75" customHeight="1" x14ac:dyDescent="0.3">
      <c r="A240" s="1">
        <v>213</v>
      </c>
      <c r="B240" s="17"/>
      <c r="C240" s="24"/>
      <c r="D240" s="13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6">
        <f t="shared" si="25"/>
        <v>0</v>
      </c>
    </row>
    <row r="241" spans="1:55" ht="15.75" customHeight="1" x14ac:dyDescent="0.3">
      <c r="A241" s="1">
        <v>214</v>
      </c>
      <c r="B241" s="17"/>
      <c r="C241" s="24"/>
      <c r="D241" s="13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6">
        <f t="shared" si="25"/>
        <v>0</v>
      </c>
    </row>
    <row r="242" spans="1:55" ht="15.75" customHeight="1" x14ac:dyDescent="0.3">
      <c r="A242" s="1">
        <v>215</v>
      </c>
      <c r="B242" s="17"/>
      <c r="C242" s="24"/>
      <c r="D242" s="13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6">
        <f t="shared" si="25"/>
        <v>0</v>
      </c>
    </row>
    <row r="243" spans="1:55" ht="15.75" customHeight="1" x14ac:dyDescent="0.3">
      <c r="A243" s="1">
        <v>216</v>
      </c>
      <c r="B243" s="17"/>
      <c r="C243" s="24"/>
      <c r="D243" s="13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6">
        <f t="shared" si="25"/>
        <v>0</v>
      </c>
    </row>
    <row r="244" spans="1:55" ht="15.75" customHeight="1" x14ac:dyDescent="0.3">
      <c r="A244" s="1">
        <v>217</v>
      </c>
      <c r="B244" s="17"/>
      <c r="C244" s="24"/>
      <c r="D244" s="13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6">
        <f t="shared" si="25"/>
        <v>0</v>
      </c>
    </row>
    <row r="245" spans="1:55" ht="15.75" customHeight="1" x14ac:dyDescent="0.3">
      <c r="A245" s="1">
        <v>218</v>
      </c>
      <c r="B245" s="17"/>
      <c r="C245" s="24"/>
      <c r="D245" s="13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6">
        <f t="shared" si="25"/>
        <v>0</v>
      </c>
    </row>
    <row r="246" spans="1:55" ht="15.75" customHeight="1" x14ac:dyDescent="0.3">
      <c r="A246" s="1">
        <v>219</v>
      </c>
      <c r="B246" s="17"/>
      <c r="C246" s="24"/>
      <c r="D246" s="13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6">
        <f t="shared" si="25"/>
        <v>0</v>
      </c>
    </row>
    <row r="247" spans="1:55" ht="15.75" customHeight="1" x14ac:dyDescent="0.3">
      <c r="A247" s="1">
        <v>220</v>
      </c>
      <c r="B247" s="17"/>
      <c r="C247" s="24"/>
      <c r="D247" s="13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6">
        <f t="shared" si="25"/>
        <v>0</v>
      </c>
    </row>
    <row r="248" spans="1:55" ht="15.75" customHeight="1" x14ac:dyDescent="0.3">
      <c r="A248" s="1">
        <v>221</v>
      </c>
      <c r="B248" s="17"/>
      <c r="C248" s="24"/>
      <c r="D248" s="13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6">
        <f t="shared" si="25"/>
        <v>0</v>
      </c>
    </row>
    <row r="249" spans="1:55" ht="15.75" customHeight="1" x14ac:dyDescent="0.3">
      <c r="A249" s="1">
        <v>222</v>
      </c>
      <c r="B249" s="17"/>
      <c r="C249" s="24"/>
      <c r="D249" s="13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6">
        <f t="shared" si="25"/>
        <v>0</v>
      </c>
    </row>
    <row r="250" spans="1:55" ht="15.75" customHeight="1" x14ac:dyDescent="0.3">
      <c r="A250" s="1">
        <v>223</v>
      </c>
      <c r="B250" s="17"/>
      <c r="C250" s="24"/>
      <c r="D250" s="13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6">
        <f t="shared" si="25"/>
        <v>0</v>
      </c>
    </row>
    <row r="251" spans="1:55" ht="15.75" customHeight="1" x14ac:dyDescent="0.3">
      <c r="A251" s="1">
        <v>224</v>
      </c>
      <c r="B251" s="17"/>
      <c r="C251" s="24"/>
      <c r="D251" s="13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6">
        <f t="shared" si="25"/>
        <v>0</v>
      </c>
    </row>
    <row r="252" spans="1:55" ht="15.75" customHeight="1" x14ac:dyDescent="0.3">
      <c r="A252" s="1">
        <v>225</v>
      </c>
      <c r="B252" s="17"/>
      <c r="C252" s="24"/>
      <c r="D252" s="13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6">
        <f t="shared" si="25"/>
        <v>0</v>
      </c>
    </row>
    <row r="253" spans="1:55" ht="15.75" customHeight="1" x14ac:dyDescent="0.3">
      <c r="A253" s="1">
        <v>226</v>
      </c>
      <c r="B253" s="17"/>
      <c r="C253" s="24"/>
      <c r="D253" s="13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6">
        <f t="shared" si="25"/>
        <v>0</v>
      </c>
    </row>
    <row r="254" spans="1:55" ht="15.75" customHeight="1" x14ac:dyDescent="0.3">
      <c r="A254" s="1">
        <v>227</v>
      </c>
      <c r="B254" s="17"/>
      <c r="C254" s="24"/>
      <c r="D254" s="13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6">
        <f t="shared" si="25"/>
        <v>0</v>
      </c>
    </row>
    <row r="255" spans="1:55" ht="15.75" customHeight="1" x14ac:dyDescent="0.3">
      <c r="A255" s="1">
        <v>228</v>
      </c>
      <c r="B255" s="17"/>
      <c r="C255" s="24"/>
      <c r="D255" s="13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6">
        <f t="shared" si="25"/>
        <v>0</v>
      </c>
    </row>
    <row r="256" spans="1:55" ht="15.75" customHeight="1" x14ac:dyDescent="0.3">
      <c r="A256" s="1">
        <v>229</v>
      </c>
      <c r="B256" s="17"/>
      <c r="C256" s="24"/>
      <c r="D256" s="13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6">
        <f t="shared" si="25"/>
        <v>0</v>
      </c>
    </row>
    <row r="257" spans="1:55" ht="15.75" customHeight="1" x14ac:dyDescent="0.3">
      <c r="A257" s="1">
        <v>230</v>
      </c>
      <c r="B257" s="17"/>
      <c r="C257" s="24"/>
      <c r="D257" s="13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6">
        <f t="shared" si="25"/>
        <v>0</v>
      </c>
    </row>
    <row r="258" spans="1:55" ht="15.75" customHeight="1" x14ac:dyDescent="0.3">
      <c r="A258" s="1">
        <v>231</v>
      </c>
      <c r="B258" s="17"/>
      <c r="C258" s="24"/>
      <c r="D258" s="13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6">
        <f t="shared" si="25"/>
        <v>0</v>
      </c>
    </row>
    <row r="259" spans="1:55" ht="15.75" customHeight="1" x14ac:dyDescent="0.3">
      <c r="A259" s="1">
        <v>232</v>
      </c>
      <c r="B259" s="17"/>
      <c r="C259" s="24"/>
      <c r="D259" s="13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6">
        <f t="shared" si="25"/>
        <v>0</v>
      </c>
    </row>
    <row r="260" spans="1:55" ht="15.75" customHeight="1" x14ac:dyDescent="0.3">
      <c r="A260" s="1">
        <v>233</v>
      </c>
      <c r="B260" s="17"/>
      <c r="C260" s="24"/>
      <c r="D260" s="13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6">
        <f t="shared" si="25"/>
        <v>0</v>
      </c>
    </row>
    <row r="261" spans="1:55" ht="15.75" customHeight="1" x14ac:dyDescent="0.3">
      <c r="A261" s="1">
        <v>234</v>
      </c>
      <c r="B261" s="17"/>
      <c r="C261" s="24"/>
      <c r="D261" s="13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6">
        <f t="shared" si="25"/>
        <v>0</v>
      </c>
    </row>
    <row r="262" spans="1:55" ht="15.75" customHeight="1" x14ac:dyDescent="0.3">
      <c r="A262" s="1">
        <v>235</v>
      </c>
      <c r="B262" s="17"/>
      <c r="C262" s="24"/>
      <c r="D262" s="13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6">
        <f t="shared" si="25"/>
        <v>0</v>
      </c>
    </row>
    <row r="263" spans="1:55" ht="15.75" customHeight="1" x14ac:dyDescent="0.3">
      <c r="A263" s="1">
        <v>236</v>
      </c>
      <c r="B263" s="17"/>
      <c r="C263" s="24"/>
      <c r="D263" s="13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6">
        <f t="shared" si="25"/>
        <v>0</v>
      </c>
    </row>
    <row r="264" spans="1:55" ht="15.75" customHeight="1" x14ac:dyDescent="0.3">
      <c r="A264" s="1">
        <v>237</v>
      </c>
      <c r="B264" s="17"/>
      <c r="C264" s="24"/>
      <c r="D264" s="13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6">
        <f t="shared" si="25"/>
        <v>0</v>
      </c>
    </row>
    <row r="265" spans="1:55" ht="15.75" customHeight="1" x14ac:dyDescent="0.3">
      <c r="A265" s="1">
        <v>238</v>
      </c>
      <c r="B265" s="17"/>
      <c r="C265" s="24"/>
      <c r="D265" s="13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6">
        <f t="shared" si="25"/>
        <v>0</v>
      </c>
    </row>
    <row r="266" spans="1:55" ht="15.75" customHeight="1" x14ac:dyDescent="0.3">
      <c r="A266" s="1">
        <v>239</v>
      </c>
      <c r="B266" s="17"/>
      <c r="C266" s="24"/>
      <c r="D266" s="13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6">
        <f t="shared" si="25"/>
        <v>0</v>
      </c>
    </row>
    <row r="267" spans="1:55" ht="15.75" customHeight="1" x14ac:dyDescent="0.3">
      <c r="A267" s="1">
        <v>240</v>
      </c>
      <c r="B267" s="17"/>
      <c r="C267" s="24"/>
      <c r="D267" s="13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6">
        <f t="shared" si="25"/>
        <v>0</v>
      </c>
    </row>
    <row r="268" spans="1:55" ht="15.75" customHeight="1" x14ac:dyDescent="0.3">
      <c r="A268" s="1">
        <v>241</v>
      </c>
      <c r="B268" s="17"/>
      <c r="C268" s="24"/>
      <c r="D268" s="13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6">
        <f t="shared" si="25"/>
        <v>0</v>
      </c>
    </row>
    <row r="269" spans="1:55" ht="15.75" customHeight="1" x14ac:dyDescent="0.3">
      <c r="A269" s="1">
        <v>242</v>
      </c>
      <c r="B269" s="17"/>
      <c r="C269" s="24"/>
      <c r="D269" s="13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6">
        <f t="shared" si="25"/>
        <v>0</v>
      </c>
    </row>
    <row r="270" spans="1:55" ht="15.75" customHeight="1" x14ac:dyDescent="0.3">
      <c r="A270" s="1">
        <v>243</v>
      </c>
      <c r="B270" s="17"/>
      <c r="C270" s="24"/>
      <c r="D270" s="13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6">
        <f t="shared" si="25"/>
        <v>0</v>
      </c>
    </row>
    <row r="271" spans="1:55" ht="15.75" customHeight="1" x14ac:dyDescent="0.3">
      <c r="A271" s="1">
        <v>244</v>
      </c>
      <c r="B271" s="17"/>
      <c r="C271" s="24"/>
      <c r="D271" s="13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6">
        <f t="shared" si="25"/>
        <v>0</v>
      </c>
    </row>
    <row r="272" spans="1:55" ht="15.75" customHeight="1" x14ac:dyDescent="0.3">
      <c r="A272" s="1">
        <v>245</v>
      </c>
      <c r="B272" s="17"/>
      <c r="C272" s="24"/>
      <c r="D272" s="13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6">
        <f t="shared" si="25"/>
        <v>0</v>
      </c>
    </row>
    <row r="273" spans="1:55" ht="15.75" customHeight="1" x14ac:dyDescent="0.3">
      <c r="A273" s="1">
        <v>246</v>
      </c>
      <c r="B273" s="17"/>
      <c r="C273" s="24"/>
      <c r="D273" s="13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6">
        <f t="shared" si="25"/>
        <v>0</v>
      </c>
    </row>
    <row r="274" spans="1:55" ht="15.75" customHeight="1" x14ac:dyDescent="0.3">
      <c r="A274" s="1">
        <v>247</v>
      </c>
      <c r="B274" s="17"/>
      <c r="C274" s="24"/>
      <c r="D274" s="13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6">
        <f t="shared" si="25"/>
        <v>0</v>
      </c>
    </row>
    <row r="275" spans="1:55" ht="15.75" customHeight="1" x14ac:dyDescent="0.3">
      <c r="A275" s="1">
        <v>248</v>
      </c>
      <c r="B275" s="17"/>
      <c r="C275" s="24"/>
      <c r="D275" s="13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6">
        <f t="shared" si="25"/>
        <v>0</v>
      </c>
    </row>
    <row r="276" spans="1:55" ht="15.75" customHeight="1" x14ac:dyDescent="0.3">
      <c r="A276" s="1">
        <v>249</v>
      </c>
      <c r="B276" s="17"/>
      <c r="C276" s="24"/>
      <c r="D276" s="13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6">
        <f t="shared" si="25"/>
        <v>0</v>
      </c>
    </row>
    <row r="277" spans="1:55" ht="15.75" customHeight="1" x14ac:dyDescent="0.3">
      <c r="A277" s="1">
        <v>250</v>
      </c>
      <c r="B277" s="17"/>
      <c r="C277" s="24"/>
      <c r="D277" s="13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6">
        <f t="shared" si="25"/>
        <v>0</v>
      </c>
    </row>
    <row r="278" spans="1:55" ht="15.75" customHeight="1" x14ac:dyDescent="0.3">
      <c r="A278" s="1">
        <v>251</v>
      </c>
      <c r="B278" s="17"/>
      <c r="C278" s="24"/>
      <c r="D278" s="13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6">
        <f t="shared" si="25"/>
        <v>0</v>
      </c>
    </row>
    <row r="279" spans="1:55" ht="15.75" customHeight="1" x14ac:dyDescent="0.3">
      <c r="A279" s="1">
        <v>252</v>
      </c>
      <c r="B279" s="17"/>
      <c r="C279" s="24"/>
      <c r="D279" s="13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6">
        <f t="shared" si="25"/>
        <v>0</v>
      </c>
    </row>
    <row r="280" spans="1:55" ht="15.75" customHeight="1" x14ac:dyDescent="0.3">
      <c r="A280" s="1">
        <v>253</v>
      </c>
      <c r="B280" s="17"/>
      <c r="C280" s="24"/>
      <c r="D280" s="13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6">
        <f t="shared" si="25"/>
        <v>0</v>
      </c>
    </row>
    <row r="281" spans="1:55" ht="15.75" customHeight="1" x14ac:dyDescent="0.3">
      <c r="A281" s="1">
        <v>254</v>
      </c>
      <c r="B281" s="17"/>
      <c r="C281" s="24"/>
      <c r="D281" s="13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6">
        <f t="shared" si="25"/>
        <v>0</v>
      </c>
    </row>
    <row r="282" spans="1:55" ht="15.75" customHeight="1" x14ac:dyDescent="0.3">
      <c r="A282" s="1">
        <v>255</v>
      </c>
      <c r="B282" s="17"/>
      <c r="C282" s="24"/>
      <c r="D282" s="13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6">
        <f t="shared" si="25"/>
        <v>0</v>
      </c>
    </row>
    <row r="283" spans="1:55" ht="15.75" customHeight="1" x14ac:dyDescent="0.3">
      <c r="A283" s="1">
        <v>256</v>
      </c>
      <c r="B283" s="17"/>
      <c r="C283" s="24"/>
      <c r="D283" s="13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6">
        <f t="shared" ref="BC283:BC327" si="27">SUM(E283:K283)</f>
        <v>0</v>
      </c>
    </row>
    <row r="284" spans="1:55" ht="15.75" customHeight="1" x14ac:dyDescent="0.3">
      <c r="A284" s="1">
        <v>257</v>
      </c>
      <c r="B284" s="17"/>
      <c r="C284" s="24"/>
      <c r="D284" s="13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6">
        <f t="shared" si="27"/>
        <v>0</v>
      </c>
    </row>
    <row r="285" spans="1:55" ht="15.75" customHeight="1" x14ac:dyDescent="0.3">
      <c r="A285" s="1">
        <v>258</v>
      </c>
      <c r="B285" s="17"/>
      <c r="C285" s="24"/>
      <c r="D285" s="13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6">
        <f t="shared" si="27"/>
        <v>0</v>
      </c>
    </row>
    <row r="286" spans="1:55" ht="15.75" customHeight="1" x14ac:dyDescent="0.3">
      <c r="A286" s="1">
        <v>259</v>
      </c>
      <c r="B286" s="17"/>
      <c r="C286" s="24"/>
      <c r="D286" s="13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6">
        <f t="shared" si="27"/>
        <v>0</v>
      </c>
    </row>
    <row r="287" spans="1:55" ht="15.75" customHeight="1" x14ac:dyDescent="0.3">
      <c r="A287" s="1">
        <v>260</v>
      </c>
      <c r="B287" s="17"/>
      <c r="C287" s="24"/>
      <c r="D287" s="13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6">
        <f t="shared" si="27"/>
        <v>0</v>
      </c>
    </row>
    <row r="288" spans="1:55" ht="15.75" customHeight="1" x14ac:dyDescent="0.3">
      <c r="A288" s="1">
        <v>261</v>
      </c>
      <c r="B288" s="17"/>
      <c r="C288" s="24"/>
      <c r="D288" s="13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6">
        <f t="shared" si="27"/>
        <v>0</v>
      </c>
    </row>
    <row r="289" spans="1:55" ht="15.75" customHeight="1" x14ac:dyDescent="0.3">
      <c r="A289" s="1">
        <v>262</v>
      </c>
      <c r="B289" s="17"/>
      <c r="C289" s="24"/>
      <c r="D289" s="13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6">
        <f t="shared" si="27"/>
        <v>0</v>
      </c>
    </row>
    <row r="290" spans="1:55" ht="15.75" customHeight="1" x14ac:dyDescent="0.3">
      <c r="A290" s="1">
        <v>263</v>
      </c>
      <c r="B290" s="17"/>
      <c r="C290" s="24"/>
      <c r="D290" s="13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6">
        <f t="shared" si="27"/>
        <v>0</v>
      </c>
    </row>
    <row r="291" spans="1:55" ht="15.75" customHeight="1" x14ac:dyDescent="0.3">
      <c r="A291" s="1">
        <v>264</v>
      </c>
      <c r="B291" s="17"/>
      <c r="C291" s="24"/>
      <c r="D291" s="13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6">
        <f t="shared" si="27"/>
        <v>0</v>
      </c>
    </row>
    <row r="292" spans="1:55" ht="15.75" customHeight="1" x14ac:dyDescent="0.3">
      <c r="A292" s="1">
        <v>265</v>
      </c>
      <c r="B292" s="17"/>
      <c r="C292" s="24"/>
      <c r="D292" s="13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6">
        <f t="shared" si="27"/>
        <v>0</v>
      </c>
    </row>
    <row r="293" spans="1:55" ht="15.75" customHeight="1" x14ac:dyDescent="0.3">
      <c r="A293" s="1">
        <v>266</v>
      </c>
      <c r="B293" s="17"/>
      <c r="C293" s="24"/>
      <c r="D293" s="13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6">
        <f t="shared" si="27"/>
        <v>0</v>
      </c>
    </row>
    <row r="294" spans="1:55" ht="15.75" customHeight="1" x14ac:dyDescent="0.3">
      <c r="A294" s="1">
        <v>267</v>
      </c>
      <c r="B294" s="17"/>
      <c r="C294" s="24"/>
      <c r="D294" s="13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6">
        <f t="shared" si="27"/>
        <v>0</v>
      </c>
    </row>
    <row r="295" spans="1:55" ht="15.75" customHeight="1" x14ac:dyDescent="0.3">
      <c r="A295" s="1">
        <v>268</v>
      </c>
      <c r="B295" s="17"/>
      <c r="C295" s="24"/>
      <c r="D295" s="13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6">
        <f t="shared" si="27"/>
        <v>0</v>
      </c>
    </row>
    <row r="296" spans="1:55" ht="15.75" customHeight="1" x14ac:dyDescent="0.3">
      <c r="A296" s="1">
        <v>269</v>
      </c>
      <c r="B296" s="17"/>
      <c r="C296" s="24"/>
      <c r="D296" s="13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6">
        <f t="shared" si="27"/>
        <v>0</v>
      </c>
    </row>
    <row r="297" spans="1:55" ht="15.75" customHeight="1" x14ac:dyDescent="0.3">
      <c r="A297" s="1">
        <v>270</v>
      </c>
      <c r="B297" s="17"/>
      <c r="C297" s="24"/>
      <c r="D297" s="13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6">
        <f t="shared" si="27"/>
        <v>0</v>
      </c>
    </row>
    <row r="298" spans="1:55" ht="15.75" customHeight="1" x14ac:dyDescent="0.3">
      <c r="A298" s="1">
        <v>271</v>
      </c>
      <c r="B298" s="17"/>
      <c r="C298" s="24"/>
      <c r="D298" s="13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6">
        <f t="shared" si="27"/>
        <v>0</v>
      </c>
    </row>
    <row r="299" spans="1:55" ht="15.75" customHeight="1" x14ac:dyDescent="0.3">
      <c r="A299" s="1">
        <v>272</v>
      </c>
      <c r="B299" s="17"/>
      <c r="C299" s="24"/>
      <c r="D299" s="13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6">
        <f t="shared" si="27"/>
        <v>0</v>
      </c>
    </row>
    <row r="300" spans="1:55" ht="15.75" customHeight="1" x14ac:dyDescent="0.3">
      <c r="A300" s="1">
        <v>273</v>
      </c>
      <c r="B300" s="17"/>
      <c r="C300" s="24"/>
      <c r="D300" s="13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6">
        <f t="shared" si="27"/>
        <v>0</v>
      </c>
    </row>
    <row r="301" spans="1:55" ht="15.75" customHeight="1" x14ac:dyDescent="0.3">
      <c r="A301" s="1">
        <v>274</v>
      </c>
      <c r="B301" s="17"/>
      <c r="C301" s="24"/>
      <c r="D301" s="13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6">
        <f t="shared" si="27"/>
        <v>0</v>
      </c>
    </row>
    <row r="302" spans="1:55" ht="15.75" customHeight="1" x14ac:dyDescent="0.3">
      <c r="A302" s="1">
        <v>275</v>
      </c>
      <c r="B302" s="17"/>
      <c r="C302" s="24"/>
      <c r="D302" s="13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6">
        <f t="shared" si="27"/>
        <v>0</v>
      </c>
    </row>
    <row r="303" spans="1:55" ht="15.75" customHeight="1" x14ac:dyDescent="0.3">
      <c r="A303" s="1">
        <v>276</v>
      </c>
      <c r="B303" s="17"/>
      <c r="C303" s="24"/>
      <c r="D303" s="13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6">
        <f t="shared" si="27"/>
        <v>0</v>
      </c>
    </row>
    <row r="304" spans="1:55" ht="15.75" customHeight="1" x14ac:dyDescent="0.3">
      <c r="A304" s="1">
        <v>277</v>
      </c>
      <c r="B304" s="17"/>
      <c r="C304" s="24"/>
      <c r="D304" s="13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6">
        <f t="shared" si="27"/>
        <v>0</v>
      </c>
    </row>
    <row r="305" spans="1:55" ht="15.75" customHeight="1" x14ac:dyDescent="0.3">
      <c r="A305" s="1">
        <v>278</v>
      </c>
      <c r="B305" s="17"/>
      <c r="C305" s="24"/>
      <c r="D305" s="13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6">
        <f t="shared" si="27"/>
        <v>0</v>
      </c>
    </row>
    <row r="306" spans="1:55" ht="15.75" customHeight="1" x14ac:dyDescent="0.3">
      <c r="A306" s="1">
        <v>279</v>
      </c>
      <c r="B306" s="17"/>
      <c r="C306" s="24"/>
      <c r="D306" s="13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6">
        <f t="shared" si="27"/>
        <v>0</v>
      </c>
    </row>
    <row r="307" spans="1:55" ht="15.75" customHeight="1" x14ac:dyDescent="0.3">
      <c r="A307" s="1">
        <v>280</v>
      </c>
      <c r="B307" s="17"/>
      <c r="C307" s="24"/>
      <c r="D307" s="13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6">
        <f t="shared" si="27"/>
        <v>0</v>
      </c>
    </row>
    <row r="308" spans="1:55" ht="15.75" customHeight="1" x14ac:dyDescent="0.3">
      <c r="A308" s="1">
        <v>281</v>
      </c>
      <c r="B308" s="17"/>
      <c r="C308" s="24"/>
      <c r="D308" s="13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6">
        <f t="shared" si="27"/>
        <v>0</v>
      </c>
    </row>
    <row r="309" spans="1:55" ht="15.75" customHeight="1" x14ac:dyDescent="0.3">
      <c r="A309" s="1">
        <v>282</v>
      </c>
      <c r="B309" s="17"/>
      <c r="C309" s="24"/>
      <c r="D309" s="13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6">
        <f t="shared" si="27"/>
        <v>0</v>
      </c>
    </row>
    <row r="310" spans="1:55" ht="15.75" customHeight="1" x14ac:dyDescent="0.3">
      <c r="A310" s="1">
        <v>283</v>
      </c>
      <c r="B310" s="17"/>
      <c r="C310" s="24"/>
      <c r="D310" s="13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6">
        <f t="shared" si="27"/>
        <v>0</v>
      </c>
    </row>
    <row r="311" spans="1:55" ht="15.75" customHeight="1" x14ac:dyDescent="0.3">
      <c r="A311" s="1">
        <v>284</v>
      </c>
      <c r="B311" s="17"/>
      <c r="C311" s="24"/>
      <c r="D311" s="13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6">
        <f t="shared" si="27"/>
        <v>0</v>
      </c>
    </row>
    <row r="312" spans="1:55" ht="15.75" customHeight="1" x14ac:dyDescent="0.3">
      <c r="A312" s="1">
        <v>285</v>
      </c>
      <c r="B312" s="17"/>
      <c r="C312" s="24"/>
      <c r="D312" s="13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6">
        <f t="shared" si="27"/>
        <v>0</v>
      </c>
    </row>
    <row r="313" spans="1:55" ht="15.75" customHeight="1" x14ac:dyDescent="0.3">
      <c r="A313" s="1">
        <v>286</v>
      </c>
      <c r="B313" s="17"/>
      <c r="C313" s="24"/>
      <c r="D313" s="13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6">
        <f t="shared" si="27"/>
        <v>0</v>
      </c>
    </row>
    <row r="314" spans="1:55" ht="15.75" customHeight="1" x14ac:dyDescent="0.3">
      <c r="A314" s="1">
        <v>287</v>
      </c>
      <c r="B314" s="17"/>
      <c r="C314" s="24"/>
      <c r="D314" s="13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6">
        <f t="shared" si="27"/>
        <v>0</v>
      </c>
    </row>
    <row r="315" spans="1:55" ht="15.75" customHeight="1" x14ac:dyDescent="0.3">
      <c r="A315" s="1">
        <v>288</v>
      </c>
      <c r="B315" s="17"/>
      <c r="C315" s="24"/>
      <c r="D315" s="13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6">
        <f t="shared" si="27"/>
        <v>0</v>
      </c>
    </row>
    <row r="316" spans="1:55" ht="15.75" customHeight="1" x14ac:dyDescent="0.3">
      <c r="A316" s="1">
        <v>289</v>
      </c>
      <c r="B316" s="17"/>
      <c r="C316" s="24"/>
      <c r="D316" s="13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6">
        <f t="shared" si="27"/>
        <v>0</v>
      </c>
    </row>
    <row r="317" spans="1:55" ht="15.75" customHeight="1" x14ac:dyDescent="0.3">
      <c r="A317" s="1">
        <v>290</v>
      </c>
      <c r="B317" s="17"/>
      <c r="C317" s="24"/>
      <c r="D317" s="13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6">
        <f t="shared" si="27"/>
        <v>0</v>
      </c>
    </row>
    <row r="318" spans="1:55" ht="15.75" customHeight="1" x14ac:dyDescent="0.3">
      <c r="A318" s="1">
        <v>291</v>
      </c>
      <c r="B318" s="17"/>
      <c r="C318" s="24"/>
      <c r="D318" s="13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6">
        <f t="shared" si="27"/>
        <v>0</v>
      </c>
    </row>
    <row r="319" spans="1:55" ht="15.75" customHeight="1" x14ac:dyDescent="0.3">
      <c r="A319" s="1">
        <v>292</v>
      </c>
      <c r="B319" s="17"/>
      <c r="C319" s="24"/>
      <c r="D319" s="13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6">
        <f t="shared" si="27"/>
        <v>0</v>
      </c>
    </row>
    <row r="320" spans="1:55" ht="15.75" customHeight="1" x14ac:dyDescent="0.3">
      <c r="A320" s="1">
        <v>293</v>
      </c>
      <c r="B320" s="17"/>
      <c r="C320" s="24"/>
      <c r="D320" s="13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6">
        <f t="shared" si="27"/>
        <v>0</v>
      </c>
    </row>
    <row r="321" spans="1:55" ht="15.75" customHeight="1" x14ac:dyDescent="0.3">
      <c r="A321" s="1">
        <v>294</v>
      </c>
      <c r="B321" s="17"/>
      <c r="C321" s="24"/>
      <c r="D321" s="13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6">
        <f t="shared" si="27"/>
        <v>0</v>
      </c>
    </row>
    <row r="322" spans="1:55" ht="15.75" customHeight="1" x14ac:dyDescent="0.3">
      <c r="A322" s="1">
        <v>295</v>
      </c>
      <c r="B322" s="17"/>
      <c r="C322" s="24"/>
      <c r="D322" s="13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6">
        <f t="shared" si="27"/>
        <v>0</v>
      </c>
    </row>
    <row r="323" spans="1:55" ht="15.75" customHeight="1" x14ac:dyDescent="0.3">
      <c r="A323" s="1">
        <v>296</v>
      </c>
      <c r="B323" s="17"/>
      <c r="C323" s="24"/>
      <c r="D323" s="13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6">
        <f t="shared" si="27"/>
        <v>0</v>
      </c>
    </row>
    <row r="324" spans="1:55" ht="15.75" customHeight="1" x14ac:dyDescent="0.3">
      <c r="A324" s="1">
        <v>297</v>
      </c>
      <c r="B324" s="17"/>
      <c r="C324" s="24"/>
      <c r="D324" s="13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6">
        <f t="shared" si="27"/>
        <v>0</v>
      </c>
    </row>
    <row r="325" spans="1:55" ht="15.75" customHeight="1" x14ac:dyDescent="0.3">
      <c r="A325" s="1">
        <v>298</v>
      </c>
      <c r="B325" s="17"/>
      <c r="C325" s="24"/>
      <c r="D325" s="13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6">
        <f t="shared" si="27"/>
        <v>0</v>
      </c>
    </row>
    <row r="326" spans="1:55" ht="15.75" customHeight="1" x14ac:dyDescent="0.3">
      <c r="A326" s="1">
        <v>299</v>
      </c>
      <c r="B326" s="17"/>
      <c r="C326" s="24"/>
      <c r="D326" s="13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6">
        <f t="shared" si="27"/>
        <v>0</v>
      </c>
    </row>
    <row r="327" spans="1:55" ht="15.75" customHeight="1" x14ac:dyDescent="0.3">
      <c r="A327" s="1">
        <v>300</v>
      </c>
      <c r="B327" s="17"/>
      <c r="C327" s="24"/>
      <c r="D327" s="13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6">
        <f t="shared" si="27"/>
        <v>0</v>
      </c>
    </row>
    <row r="328" spans="1:55" ht="12.75" customHeight="1" x14ac:dyDescent="0.3"/>
    <row r="329" spans="1:55" ht="12.75" customHeight="1" x14ac:dyDescent="0.3"/>
    <row r="330" spans="1:55" ht="12.75" customHeight="1" x14ac:dyDescent="0.3"/>
    <row r="331" spans="1:55" ht="12.75" customHeight="1" x14ac:dyDescent="0.3"/>
    <row r="332" spans="1:55" ht="12.75" customHeight="1" x14ac:dyDescent="0.3"/>
    <row r="333" spans="1:55" ht="12.75" customHeight="1" x14ac:dyDescent="0.3"/>
    <row r="334" spans="1:55" ht="12.75" customHeight="1" x14ac:dyDescent="0.3"/>
    <row r="335" spans="1:55" ht="12.75" customHeight="1" x14ac:dyDescent="0.3"/>
    <row r="336" spans="1:55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</sheetData>
  <mergeCells count="9">
    <mergeCell ref="AA20:AD20"/>
    <mergeCell ref="AE20:AH20"/>
    <mergeCell ref="B26:C26"/>
    <mergeCell ref="N21:S21"/>
    <mergeCell ref="E21:J21"/>
    <mergeCell ref="K21:M21"/>
    <mergeCell ref="A1:O1"/>
    <mergeCell ref="A2:O2"/>
    <mergeCell ref="F20:K20"/>
  </mergeCells>
  <conditionalFormatting sqref="E20:E21">
    <cfRule type="expression" dxfId="14" priority="28">
      <formula>E$37=0</formula>
    </cfRule>
  </conditionalFormatting>
  <conditionalFormatting sqref="E28:E70">
    <cfRule type="containsText" dxfId="13" priority="22" operator="containsText" text="Ab">
      <formula>NOT(ISERROR(SEARCH(("Ab"),(E28))))</formula>
    </cfRule>
  </conditionalFormatting>
  <conditionalFormatting sqref="E28:G70">
    <cfRule type="cellIs" dxfId="12" priority="25" operator="equal">
      <formula>0</formula>
    </cfRule>
    <cfRule type="cellIs" dxfId="11" priority="26" operator="equal">
      <formula>0</formula>
    </cfRule>
  </conditionalFormatting>
  <conditionalFormatting sqref="E28:J70">
    <cfRule type="cellIs" dxfId="10" priority="10" operator="equal">
      <formula>"Ab"</formula>
    </cfRule>
  </conditionalFormatting>
  <conditionalFormatting sqref="E28:R70">
    <cfRule type="cellIs" dxfId="9" priority="1" operator="equal">
      <formula>"A"</formula>
    </cfRule>
  </conditionalFormatting>
  <conditionalFormatting sqref="E6:BB17">
    <cfRule type="cellIs" dxfId="8" priority="35" operator="equal">
      <formula>0</formula>
    </cfRule>
  </conditionalFormatting>
  <conditionalFormatting sqref="F28:G70">
    <cfRule type="containsText" dxfId="7" priority="27" operator="containsText" text="Ab">
      <formula>NOT(ISERROR(SEARCH(("Ab"),(F28))))</formula>
    </cfRule>
  </conditionalFormatting>
  <conditionalFormatting sqref="H28:J70">
    <cfRule type="cellIs" dxfId="6" priority="13" operator="equal">
      <formula>0</formula>
    </cfRule>
    <cfRule type="cellIs" dxfId="5" priority="12" operator="equal">
      <formula>0</formula>
    </cfRule>
  </conditionalFormatting>
  <conditionalFormatting sqref="K21">
    <cfRule type="expression" dxfId="4" priority="31">
      <formula>J$37=0</formula>
    </cfRule>
  </conditionalFormatting>
  <conditionalFormatting sqref="K28:R70">
    <cfRule type="cellIs" dxfId="3" priority="2" operator="equal">
      <formula>0</formula>
    </cfRule>
    <cfRule type="cellIs" dxfId="2" priority="3" operator="equal">
      <formula>0</formula>
    </cfRule>
  </conditionalFormatting>
  <conditionalFormatting sqref="N21 T21:AL21">
    <cfRule type="expression" dxfId="1" priority="29">
      <formula>N$37=0</formula>
    </cfRule>
  </conditionalFormatting>
  <conditionalFormatting sqref="AM20:BB21">
    <cfRule type="expression" dxfId="0" priority="30">
      <formula>AM$37=0</formula>
    </cfRule>
  </conditionalFormatting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Joy Sarkar</cp:lastModifiedBy>
  <dcterms:created xsi:type="dcterms:W3CDTF">2022-12-03T10:03:00Z</dcterms:created>
  <dcterms:modified xsi:type="dcterms:W3CDTF">2025-12-28T19:52:19Z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55336369B568424EA904BA36BBDF454F</vt:lpwstr>
  </property>
  <property fmtid="{D5CDD505-2E9C-101B-9397-08002B2CF9AE}" pid="3" name="KSOProductBuildVer">
    <vt:lpwstr>1033-11.2.0.11417</vt:lpwstr>
  </property>
</Properties>
</file>